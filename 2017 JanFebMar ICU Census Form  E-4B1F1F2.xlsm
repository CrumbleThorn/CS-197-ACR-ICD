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20490" windowHeight="8340"/>
  </bookViews>
  <sheets>
    <sheet name="ICU-JAN" sheetId="31" r:id="rId1"/>
    <sheet name="ICU-FEB" sheetId="28" r:id="rId2"/>
    <sheet name="ICU-MARCH" sheetId="32" r:id="rId3"/>
    <sheet name="Census per Disease E-4B1F1 JAN" sheetId="25" r:id="rId4"/>
    <sheet name="Census per Disease E-4B1F1 FEB" sheetId="26" r:id="rId5"/>
    <sheet name="Census per Disease E-4B1F1 MAR" sheetId="27" r:id="rId6"/>
    <sheet name="Census Summary per Subspec B1F2" sheetId="21" r:id="rId7"/>
  </sheets>
  <definedNames>
    <definedName name="_xlnm._FilterDatabase" localSheetId="1" hidden="1">'ICU-FEB'!$A$2:$W$2</definedName>
    <definedName name="_xlnm._FilterDatabase" localSheetId="0" hidden="1">'ICU-JAN'!$A$2:$W$2</definedName>
    <definedName name="_xlnm._FilterDatabase" localSheetId="2" hidden="1">'ICU-MARCH'!$A$2:$W$2</definedName>
    <definedName name="_xlnm.Print_Area" localSheetId="4">'Census per Disease E-4B1F1 FEB'!$A$1:$J$346</definedName>
    <definedName name="_xlnm.Print_Area" localSheetId="3">'Census per Disease E-4B1F1 JAN'!$A$1:$J$347</definedName>
    <definedName name="_xlnm.Print_Area" localSheetId="5">'Census per Disease E-4B1F1 MAR'!$A$1:$J$346</definedName>
    <definedName name="_xlnm.Print_Area" localSheetId="6">'Census Summary per Subspec B1F2'!$A$1:$G$103</definedName>
  </definedNames>
  <calcPr calcId="125725" concurrentCalc="0"/>
</workbook>
</file>

<file path=xl/calcChain.xml><?xml version="1.0" encoding="utf-8"?>
<calcChain xmlns="http://schemas.openxmlformats.org/spreadsheetml/2006/main">
  <c r="C4" i="31"/>
  <c r="C5"/>
  <c r="C6"/>
  <c r="C7"/>
  <c r="C8"/>
  <c r="C9"/>
  <c r="C10"/>
  <c r="C11"/>
  <c r="C12"/>
  <c r="C13"/>
  <c r="C14"/>
  <c r="C15"/>
  <c r="C16"/>
  <c r="C17"/>
  <c r="C18"/>
  <c r="C19"/>
  <c r="C20"/>
  <c r="C3"/>
  <c r="C4" i="32"/>
  <c r="C5"/>
  <c r="C6"/>
  <c r="C7"/>
  <c r="C8"/>
  <c r="C9"/>
  <c r="C10"/>
  <c r="C11"/>
  <c r="C12"/>
  <c r="C13"/>
  <c r="C14"/>
  <c r="C15"/>
  <c r="C16"/>
  <c r="C17"/>
  <c r="C18"/>
  <c r="C19"/>
  <c r="C20"/>
  <c r="C3"/>
  <c r="C4" i="28"/>
  <c r="C5"/>
  <c r="C6"/>
  <c r="C7"/>
  <c r="C8"/>
  <c r="C9"/>
  <c r="C10"/>
  <c r="C11"/>
  <c r="C12"/>
  <c r="C13"/>
  <c r="C14"/>
  <c r="C15"/>
  <c r="C16"/>
  <c r="C17"/>
  <c r="C18"/>
  <c r="C19"/>
  <c r="C20"/>
  <c r="C21"/>
  <c r="C3"/>
  <c r="I1" i="32"/>
  <c r="I1" i="28"/>
  <c r="I1" i="31"/>
  <c r="C9" i="27"/>
  <c r="C9" i="26"/>
  <c r="C9" i="25" a="1"/>
  <c r="C9"/>
  <c r="E19"/>
  <c r="G19"/>
  <c r="E20"/>
  <c r="G20"/>
  <c r="E70" i="21"/>
  <c r="E69"/>
  <c r="E68"/>
  <c r="E67"/>
  <c r="E66"/>
  <c r="E65"/>
  <c r="E64"/>
  <c r="E63"/>
  <c r="E62"/>
  <c r="E61"/>
  <c r="E60"/>
  <c r="E59"/>
  <c r="C70"/>
  <c r="C69"/>
  <c r="C68"/>
  <c r="C67"/>
  <c r="C66"/>
  <c r="C65"/>
  <c r="C64"/>
  <c r="C63"/>
  <c r="C62"/>
  <c r="C61"/>
  <c r="C60"/>
  <c r="F60"/>
  <c r="C59"/>
  <c r="E45"/>
  <c r="E44"/>
  <c r="E43"/>
  <c r="E42"/>
  <c r="E41"/>
  <c r="E40"/>
  <c r="E39"/>
  <c r="C39"/>
  <c r="F39"/>
  <c r="E38"/>
  <c r="E37"/>
  <c r="E36"/>
  <c r="E35"/>
  <c r="E34"/>
  <c r="C45"/>
  <c r="C44"/>
  <c r="C43"/>
  <c r="F43"/>
  <c r="C42"/>
  <c r="C41"/>
  <c r="C40"/>
  <c r="C38"/>
  <c r="C37"/>
  <c r="C36"/>
  <c r="F36"/>
  <c r="C35"/>
  <c r="F35"/>
  <c r="C34"/>
  <c r="C24"/>
  <c r="C49"/>
  <c r="C74"/>
  <c r="F63"/>
  <c r="F44"/>
  <c r="E20"/>
  <c r="E19"/>
  <c r="E18"/>
  <c r="E17"/>
  <c r="E16"/>
  <c r="E15"/>
  <c r="E92"/>
  <c r="E14"/>
  <c r="E13"/>
  <c r="E12"/>
  <c r="E11"/>
  <c r="E10"/>
  <c r="E9"/>
  <c r="C20"/>
  <c r="C19"/>
  <c r="C18"/>
  <c r="C17"/>
  <c r="C16"/>
  <c r="C15"/>
  <c r="C92"/>
  <c r="C14"/>
  <c r="C13"/>
  <c r="C12"/>
  <c r="C11"/>
  <c r="C10"/>
  <c r="C9"/>
  <c r="E63" i="27"/>
  <c r="G63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1" i="26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22" i="25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13"/>
  <c r="A14"/>
  <c r="A15"/>
  <c r="A16"/>
  <c r="A17"/>
  <c r="A18"/>
  <c r="D27" i="21"/>
  <c r="B32"/>
  <c r="B83"/>
  <c r="B57"/>
  <c r="B84"/>
  <c r="D52"/>
  <c r="D77"/>
  <c r="C29"/>
  <c r="C54"/>
  <c r="C79"/>
  <c r="C96"/>
  <c r="F64"/>
  <c r="C101"/>
  <c r="C97"/>
  <c r="F38"/>
  <c r="C88"/>
  <c r="A19" i="25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F34" i="21"/>
  <c r="F59"/>
  <c r="F40"/>
  <c r="F61"/>
  <c r="F66"/>
  <c r="C94"/>
  <c r="C93"/>
  <c r="C95"/>
  <c r="C86"/>
  <c r="E88"/>
  <c r="F70"/>
  <c r="F69"/>
  <c r="F67"/>
  <c r="F65"/>
  <c r="C89"/>
  <c r="F62"/>
  <c r="E95"/>
  <c r="F45"/>
  <c r="F42"/>
  <c r="F41"/>
  <c r="C90"/>
  <c r="F37"/>
  <c r="F68"/>
  <c r="C91"/>
  <c r="C87"/>
  <c r="E97"/>
  <c r="E86"/>
  <c r="E91"/>
  <c r="E93"/>
  <c r="E96"/>
  <c r="F96"/>
  <c r="E90"/>
  <c r="E94"/>
  <c r="E89"/>
  <c r="F89"/>
  <c r="E87"/>
  <c r="F92"/>
  <c r="F345" i="27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345" i="26"/>
  <c r="D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G320"/>
  <c r="E320"/>
  <c r="F317"/>
  <c r="D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G292"/>
  <c r="E292"/>
  <c r="F289"/>
  <c r="D289"/>
  <c r="G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G264"/>
  <c r="E264"/>
  <c r="F261"/>
  <c r="D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G236"/>
  <c r="E236"/>
  <c r="F233"/>
  <c r="D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G208"/>
  <c r="E208"/>
  <c r="F205"/>
  <c r="D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F177"/>
  <c r="D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F149"/>
  <c r="D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F121"/>
  <c r="D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F93"/>
  <c r="D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F65"/>
  <c r="D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F37"/>
  <c r="D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F14" i="21"/>
  <c r="F13"/>
  <c r="B7"/>
  <c r="B82"/>
  <c r="F346" i="25"/>
  <c r="D346"/>
  <c r="E346"/>
  <c r="G345"/>
  <c r="E345"/>
  <c r="G344"/>
  <c r="E344"/>
  <c r="G343"/>
  <c r="E343"/>
  <c r="G342"/>
  <c r="E342"/>
  <c r="G341"/>
  <c r="E341"/>
  <c r="G340"/>
  <c r="E340"/>
  <c r="G339"/>
  <c r="E339"/>
  <c r="G338"/>
  <c r="E338"/>
  <c r="G337"/>
  <c r="E337"/>
  <c r="G336"/>
  <c r="E336"/>
  <c r="G335"/>
  <c r="E335"/>
  <c r="G334"/>
  <c r="E334"/>
  <c r="G333"/>
  <c r="E333"/>
  <c r="G332"/>
  <c r="E332"/>
  <c r="G331"/>
  <c r="E331"/>
  <c r="G330"/>
  <c r="E330"/>
  <c r="G329"/>
  <c r="E329"/>
  <c r="G328"/>
  <c r="E328"/>
  <c r="G327"/>
  <c r="E327"/>
  <c r="G326"/>
  <c r="E326"/>
  <c r="G325"/>
  <c r="E325"/>
  <c r="G324"/>
  <c r="E324"/>
  <c r="G323"/>
  <c r="E323"/>
  <c r="G322"/>
  <c r="E322"/>
  <c r="G321"/>
  <c r="E321"/>
  <c r="F318"/>
  <c r="D318"/>
  <c r="E318"/>
  <c r="G317"/>
  <c r="E317"/>
  <c r="G316"/>
  <c r="E316"/>
  <c r="G315"/>
  <c r="E315"/>
  <c r="G314"/>
  <c r="E314"/>
  <c r="G313"/>
  <c r="E313"/>
  <c r="G312"/>
  <c r="E312"/>
  <c r="G311"/>
  <c r="E311"/>
  <c r="G310"/>
  <c r="E310"/>
  <c r="G309"/>
  <c r="E309"/>
  <c r="G308"/>
  <c r="E308"/>
  <c r="G307"/>
  <c r="E307"/>
  <c r="G306"/>
  <c r="E306"/>
  <c r="G305"/>
  <c r="E305"/>
  <c r="G304"/>
  <c r="E304"/>
  <c r="G303"/>
  <c r="E303"/>
  <c r="G302"/>
  <c r="E302"/>
  <c r="G301"/>
  <c r="E301"/>
  <c r="G300"/>
  <c r="E300"/>
  <c r="G299"/>
  <c r="E299"/>
  <c r="G298"/>
  <c r="E298"/>
  <c r="G297"/>
  <c r="E297"/>
  <c r="G296"/>
  <c r="E296"/>
  <c r="G295"/>
  <c r="E295"/>
  <c r="G294"/>
  <c r="E294"/>
  <c r="G293"/>
  <c r="E293"/>
  <c r="F290"/>
  <c r="D290"/>
  <c r="E290"/>
  <c r="G289"/>
  <c r="E289"/>
  <c r="G288"/>
  <c r="E288"/>
  <c r="G287"/>
  <c r="E287"/>
  <c r="G286"/>
  <c r="E286"/>
  <c r="G285"/>
  <c r="E285"/>
  <c r="G284"/>
  <c r="E284"/>
  <c r="G283"/>
  <c r="E283"/>
  <c r="G282"/>
  <c r="E282"/>
  <c r="G281"/>
  <c r="E281"/>
  <c r="G280"/>
  <c r="E280"/>
  <c r="G279"/>
  <c r="E279"/>
  <c r="G278"/>
  <c r="E278"/>
  <c r="G277"/>
  <c r="E277"/>
  <c r="G276"/>
  <c r="E276"/>
  <c r="G275"/>
  <c r="E275"/>
  <c r="G274"/>
  <c r="E274"/>
  <c r="G273"/>
  <c r="E273"/>
  <c r="G272"/>
  <c r="E272"/>
  <c r="G271"/>
  <c r="E271"/>
  <c r="G270"/>
  <c r="E270"/>
  <c r="G269"/>
  <c r="E269"/>
  <c r="G268"/>
  <c r="E268"/>
  <c r="G267"/>
  <c r="E267"/>
  <c r="G266"/>
  <c r="E266"/>
  <c r="G265"/>
  <c r="E265"/>
  <c r="F262"/>
  <c r="D262"/>
  <c r="E262"/>
  <c r="G261"/>
  <c r="E261"/>
  <c r="G260"/>
  <c r="E260"/>
  <c r="G259"/>
  <c r="E259"/>
  <c r="G258"/>
  <c r="E258"/>
  <c r="G257"/>
  <c r="E257"/>
  <c r="G256"/>
  <c r="E256"/>
  <c r="G255"/>
  <c r="E255"/>
  <c r="G254"/>
  <c r="E254"/>
  <c r="G253"/>
  <c r="E253"/>
  <c r="G252"/>
  <c r="E252"/>
  <c r="G251"/>
  <c r="E251"/>
  <c r="G250"/>
  <c r="E250"/>
  <c r="G249"/>
  <c r="E249"/>
  <c r="G248"/>
  <c r="E248"/>
  <c r="G247"/>
  <c r="E247"/>
  <c r="G246"/>
  <c r="E246"/>
  <c r="G245"/>
  <c r="E245"/>
  <c r="G244"/>
  <c r="E244"/>
  <c r="G243"/>
  <c r="E243"/>
  <c r="G242"/>
  <c r="E242"/>
  <c r="G241"/>
  <c r="E241"/>
  <c r="G240"/>
  <c r="E240"/>
  <c r="G239"/>
  <c r="E239"/>
  <c r="G238"/>
  <c r="E238"/>
  <c r="G237"/>
  <c r="E237"/>
  <c r="F234"/>
  <c r="D234"/>
  <c r="E234"/>
  <c r="G233"/>
  <c r="E233"/>
  <c r="G232"/>
  <c r="E232"/>
  <c r="G231"/>
  <c r="E231"/>
  <c r="G230"/>
  <c r="E230"/>
  <c r="G229"/>
  <c r="E229"/>
  <c r="G228"/>
  <c r="E228"/>
  <c r="G227"/>
  <c r="E227"/>
  <c r="G226"/>
  <c r="E226"/>
  <c r="G225"/>
  <c r="E225"/>
  <c r="G224"/>
  <c r="E224"/>
  <c r="G223"/>
  <c r="E223"/>
  <c r="G222"/>
  <c r="E222"/>
  <c r="G221"/>
  <c r="E221"/>
  <c r="G220"/>
  <c r="E220"/>
  <c r="G219"/>
  <c r="E219"/>
  <c r="G218"/>
  <c r="E218"/>
  <c r="G217"/>
  <c r="E217"/>
  <c r="G216"/>
  <c r="E216"/>
  <c r="G215"/>
  <c r="E215"/>
  <c r="G214"/>
  <c r="E214"/>
  <c r="G213"/>
  <c r="E213"/>
  <c r="G212"/>
  <c r="E212"/>
  <c r="G211"/>
  <c r="E211"/>
  <c r="G210"/>
  <c r="E210"/>
  <c r="G209"/>
  <c r="E209"/>
  <c r="F206"/>
  <c r="D206"/>
  <c r="E206"/>
  <c r="G205"/>
  <c r="E205"/>
  <c r="G204"/>
  <c r="E204"/>
  <c r="G203"/>
  <c r="E203"/>
  <c r="G202"/>
  <c r="E202"/>
  <c r="G201"/>
  <c r="E201"/>
  <c r="G200"/>
  <c r="E200"/>
  <c r="G199"/>
  <c r="E199"/>
  <c r="G198"/>
  <c r="E198"/>
  <c r="G197"/>
  <c r="E197"/>
  <c r="G196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F178"/>
  <c r="D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F150"/>
  <c r="D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F122"/>
  <c r="D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F94"/>
  <c r="D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F66"/>
  <c r="D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D2" i="21"/>
  <c r="C4"/>
  <c r="F38" i="25"/>
  <c r="D38"/>
  <c r="E38"/>
  <c r="E36"/>
  <c r="G36"/>
  <c r="E37"/>
  <c r="G37"/>
  <c r="G33"/>
  <c r="G34"/>
  <c r="G35"/>
  <c r="E33"/>
  <c r="E34"/>
  <c r="E35"/>
  <c r="E32"/>
  <c r="G32"/>
  <c r="E26"/>
  <c r="G26"/>
  <c r="E27"/>
  <c r="G27"/>
  <c r="E28"/>
  <c r="G28"/>
  <c r="E29"/>
  <c r="G29"/>
  <c r="E30"/>
  <c r="G30"/>
  <c r="E31"/>
  <c r="G31"/>
  <c r="E22"/>
  <c r="G22"/>
  <c r="E23"/>
  <c r="G23"/>
  <c r="G25"/>
  <c r="E25"/>
  <c r="G24"/>
  <c r="E24"/>
  <c r="G21"/>
  <c r="E21"/>
  <c r="G18"/>
  <c r="E18"/>
  <c r="G17"/>
  <c r="E17"/>
  <c r="G16"/>
  <c r="E16"/>
  <c r="G15"/>
  <c r="E15"/>
  <c r="G14"/>
  <c r="E14"/>
  <c r="G13"/>
  <c r="E13"/>
  <c r="G12"/>
  <c r="E12"/>
  <c r="F20" i="21"/>
  <c r="F87"/>
  <c r="F97"/>
  <c r="F88"/>
  <c r="F95"/>
  <c r="G177" i="26"/>
  <c r="F93" i="21"/>
  <c r="F86"/>
  <c r="F94"/>
  <c r="C100"/>
  <c r="D93"/>
  <c r="F91"/>
  <c r="F100"/>
  <c r="F101"/>
  <c r="F90"/>
  <c r="F10"/>
  <c r="G233" i="27"/>
  <c r="E261"/>
  <c r="G345"/>
  <c r="G121"/>
  <c r="E149"/>
  <c r="E205" i="26"/>
  <c r="G65"/>
  <c r="E93"/>
  <c r="F16" i="21"/>
  <c r="F12"/>
  <c r="F18"/>
  <c r="G38" i="25"/>
  <c r="G262"/>
  <c r="G122"/>
  <c r="G178"/>
  <c r="G346"/>
  <c r="G94"/>
  <c r="G150"/>
  <c r="G66"/>
  <c r="G206"/>
  <c r="G234"/>
  <c r="G290"/>
  <c r="G318"/>
  <c r="G37" i="27"/>
  <c r="G65"/>
  <c r="G93"/>
  <c r="G205"/>
  <c r="G317"/>
  <c r="E177"/>
  <c r="E289"/>
  <c r="G149"/>
  <c r="G261"/>
  <c r="E65"/>
  <c r="E93"/>
  <c r="E121"/>
  <c r="G177"/>
  <c r="E205"/>
  <c r="E233"/>
  <c r="G289"/>
  <c r="E317"/>
  <c r="E345"/>
  <c r="F11" i="21"/>
  <c r="F19"/>
  <c r="E37" i="26"/>
  <c r="E65"/>
  <c r="G121"/>
  <c r="E177"/>
  <c r="G37"/>
  <c r="G149"/>
  <c r="G261"/>
  <c r="E121"/>
  <c r="E233"/>
  <c r="E345"/>
  <c r="G205"/>
  <c r="G317"/>
  <c r="G345"/>
  <c r="G93"/>
  <c r="E149"/>
  <c r="G233"/>
  <c r="E261"/>
  <c r="E289"/>
  <c r="F15" i="21"/>
  <c r="C23"/>
  <c r="F23"/>
  <c r="F24"/>
  <c r="F17"/>
  <c r="F9"/>
  <c r="D89"/>
  <c r="D64"/>
  <c r="D59"/>
  <c r="D69"/>
  <c r="D66"/>
  <c r="D45"/>
  <c r="D44"/>
  <c r="D43"/>
  <c r="D40"/>
  <c r="D39"/>
  <c r="D68"/>
  <c r="D62"/>
  <c r="D60"/>
  <c r="D41"/>
  <c r="D35"/>
  <c r="D63"/>
  <c r="D34"/>
  <c r="D65"/>
  <c r="D37"/>
  <c r="D61"/>
  <c r="D70"/>
  <c r="D38"/>
  <c r="D67"/>
  <c r="D36"/>
  <c r="D42"/>
  <c r="D96"/>
  <c r="D94"/>
  <c r="D88"/>
  <c r="D97"/>
  <c r="D91"/>
  <c r="D86"/>
  <c r="D95"/>
  <c r="D90"/>
  <c r="D92"/>
  <c r="D87"/>
  <c r="D12"/>
  <c r="F73"/>
  <c r="F74"/>
  <c r="D11"/>
  <c r="D15"/>
  <c r="C73"/>
  <c r="D10"/>
  <c r="D19"/>
  <c r="D18"/>
  <c r="D9"/>
  <c r="D17"/>
  <c r="C48"/>
  <c r="F48"/>
  <c r="F49"/>
  <c r="D14"/>
  <c r="D20"/>
  <c r="D13"/>
  <c r="D16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<sst xmlns="http://schemas.openxmlformats.org/spreadsheetml/2006/main" count="452" uniqueCount="70">
  <si>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</si>
  <si>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</si>
  <si>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</si>
  <si>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</si>
  <si>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</si>
  <si>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</si>
  <si>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</si>
  <si>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</si>
  <si>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</si>
  <si>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</si>
  <si>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</si>
  <si>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</si>
  <si>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</si>
  <si>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</si>
  <si>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</si>
  <si>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</si>
  <si>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</si>
  <si>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</si>
  <si>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</si>
  <si>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</si>
  <si>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</si>
  <si>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</si>
  <si>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</si>
  <si>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</si>
  <si>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</si>
  <si>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</si>
  <si>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</si>
  <si>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</si>
  <si>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</si>
  <si>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</si>
  <si>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</si>
  <si>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</si>
  <si>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</si>
  <si>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</si>
  <si>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</si>
  <si>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January 2012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</si>
  <si>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</si>
  <si>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</si>
  <si>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</si>
  <si>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</si>
  <si>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</si>
  <si>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</si>
  <si>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</si>
  <si>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</si>
  <si>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</si>
  <si>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March 2012</t>
  </si>
  <si>
    <t>February 2012</t>
  </si>
  <si>
    <t>Months/Year</t>
  </si>
  <si>
    <t>ICU Census</t>
  </si>
  <si>
    <t>EAST AVENUE MEDICAL CENTER</t>
  </si>
  <si>
    <t>Allergology and Immunology</t>
  </si>
  <si>
    <t>Pulmonology</t>
  </si>
  <si>
    <t>Infectious Disease</t>
  </si>
  <si>
    <t>DISPOSITON (Active/Discharged/Expired/DAMA/THOC)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</si>
  <si>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</si>
  <si>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</si>
  <si>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</si>
  <si>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</si>
  <si>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</si>
  <si>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</si>
  <si>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</si>
  <si>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SUBSPECIALTY</t>
  </si>
  <si>
    <t>TEAM MEMBERS</t>
  </si>
  <si>
    <t>SERVICE CONSULTANT</t>
  </si>
  <si>
    <t>MONTH</t>
  </si>
  <si>
    <t>TOTAL PATIENTS</t>
  </si>
  <si>
    <t>DATE DISCHARGED</t>
  </si>
  <si>
    <t>DATE ADMITTED</t>
  </si>
  <si>
    <t>cold</t>
  </si>
  <si>
    <t>DURATION</t>
  </si>
</sst>
</file>

<file path=xl/styles.xml><?xml version="1.0" encoding="utf-8"?>
<styleSheet xmlns="http://schemas.openxmlformats.org/spreadsheetml/2006/main">
  <numFmts count="1">
    <numFmt numFmtId="164" formatCode="[$-3409]mmmm\ dd\,\ yyyy;@"/>
  </numFmts>
  <fonts count="20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8" fillId="0" borderId="0" xfId="0" applyFont="1"/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W20"/>
  <sheetViews>
    <sheetView tabSelected="1" workbookViewId="0">
      <selection activeCell="J4" sqref="J4"/>
    </sheetView>
  </sheetViews>
  <sheetFormatPr defaultRowHeight="12.75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>
      <c r="A3" s="102"/>
      <c r="B3" s="102"/>
      <c r="C3">
        <f>B3-A3</f>
        <v>0</v>
      </c>
    </row>
    <row r="4" spans="1:23">
      <c r="A4" s="102"/>
      <c r="B4" s="102"/>
      <c r="C4">
        <f t="shared" ref="C4:C20" si="0">B4-A4</f>
        <v>0</v>
      </c>
    </row>
    <row r="5" spans="1:23">
      <c r="A5" s="102"/>
      <c r="B5" s="102"/>
      <c r="C5">
        <f t="shared" si="0"/>
        <v>0</v>
      </c>
    </row>
    <row r="6" spans="1:23">
      <c r="A6" s="102"/>
      <c r="B6" s="102"/>
      <c r="C6">
        <f t="shared" si="0"/>
        <v>0</v>
      </c>
    </row>
    <row r="7" spans="1:23">
      <c r="A7" s="102"/>
      <c r="B7" s="102"/>
      <c r="C7">
        <f t="shared" si="0"/>
        <v>0</v>
      </c>
    </row>
    <row r="8" spans="1:23">
      <c r="A8" s="102"/>
      <c r="B8" s="102"/>
      <c r="C8">
        <f t="shared" si="0"/>
        <v>0</v>
      </c>
    </row>
    <row r="9" spans="1:23">
      <c r="A9" s="102"/>
      <c r="B9" s="102"/>
      <c r="C9">
        <f t="shared" si="0"/>
        <v>0</v>
      </c>
    </row>
    <row r="10" spans="1:23">
      <c r="A10" s="102"/>
      <c r="B10" s="102"/>
      <c r="C10">
        <f t="shared" si="0"/>
        <v>0</v>
      </c>
    </row>
    <row r="11" spans="1:23">
      <c r="A11" s="102"/>
      <c r="B11" s="102"/>
      <c r="C11">
        <f t="shared" si="0"/>
        <v>0</v>
      </c>
    </row>
    <row r="12" spans="1:23">
      <c r="A12" s="102"/>
      <c r="B12" s="102"/>
      <c r="C12">
        <f t="shared" si="0"/>
        <v>0</v>
      </c>
    </row>
    <row r="13" spans="1:23">
      <c r="A13" s="102"/>
      <c r="B13" s="102"/>
      <c r="C13">
        <f t="shared" si="0"/>
        <v>0</v>
      </c>
    </row>
    <row r="14" spans="1:23">
      <c r="A14" s="102"/>
      <c r="B14" s="102"/>
      <c r="C14">
        <f t="shared" si="0"/>
        <v>0</v>
      </c>
    </row>
    <row r="15" spans="1:23">
      <c r="A15" s="102"/>
      <c r="B15" s="102"/>
      <c r="C15">
        <f t="shared" si="0"/>
        <v>0</v>
      </c>
    </row>
    <row r="16" spans="1:23">
      <c r="A16" s="102"/>
      <c r="B16" s="102"/>
      <c r="C16">
        <f t="shared" si="0"/>
        <v>0</v>
      </c>
    </row>
    <row r="17" spans="1:3">
      <c r="A17" s="102"/>
      <c r="B17" s="102"/>
      <c r="C17">
        <f t="shared" si="0"/>
        <v>0</v>
      </c>
    </row>
    <row r="18" spans="1:3">
      <c r="A18" s="102"/>
      <c r="B18" s="102"/>
      <c r="C18">
        <f t="shared" si="0"/>
        <v>0</v>
      </c>
    </row>
    <row r="19" spans="1:3">
      <c r="A19" s="102"/>
      <c r="B19" s="102"/>
      <c r="C19">
        <f t="shared" si="0"/>
        <v>0</v>
      </c>
    </row>
    <row r="20" spans="1:3">
      <c r="A20" s="102"/>
      <c r="B20" s="102"/>
      <c r="C20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W21"/>
  <sheetViews>
    <sheetView workbookViewId="0">
      <selection activeCell="J6" sqref="J6"/>
    </sheetView>
  </sheetViews>
  <sheetFormatPr defaultRowHeight="12.75"/>
  <cols>
    <col min="1" max="2" width="12.28515625" bestFit="1" customWidth="1"/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>
      <c r="A3" s="102"/>
      <c r="B3" s="102"/>
      <c r="C3">
        <f>B3-A3</f>
        <v>0</v>
      </c>
    </row>
    <row r="4" spans="1:23">
      <c r="A4" s="102"/>
      <c r="B4" s="102"/>
      <c r="C4">
        <f t="shared" ref="C4:C21" si="0">B4-A4</f>
        <v>0</v>
      </c>
    </row>
    <row r="5" spans="1:23">
      <c r="A5" s="102"/>
      <c r="B5" s="102"/>
      <c r="C5">
        <f t="shared" si="0"/>
        <v>0</v>
      </c>
    </row>
    <row r="6" spans="1:23">
      <c r="A6" s="102"/>
      <c r="B6" s="102"/>
      <c r="C6">
        <f t="shared" si="0"/>
        <v>0</v>
      </c>
    </row>
    <row r="7" spans="1:23">
      <c r="A7" s="102"/>
      <c r="B7" s="102"/>
      <c r="C7">
        <f t="shared" si="0"/>
        <v>0</v>
      </c>
    </row>
    <row r="8" spans="1:23">
      <c r="A8" s="102"/>
      <c r="B8" s="102"/>
      <c r="C8">
        <f t="shared" si="0"/>
        <v>0</v>
      </c>
    </row>
    <row r="9" spans="1:23">
      <c r="A9" s="102"/>
      <c r="B9" s="102"/>
      <c r="C9">
        <f t="shared" si="0"/>
        <v>0</v>
      </c>
    </row>
    <row r="10" spans="1:23">
      <c r="A10" s="102"/>
      <c r="B10" s="102"/>
      <c r="C10">
        <f t="shared" si="0"/>
        <v>0</v>
      </c>
    </row>
    <row r="11" spans="1:23">
      <c r="A11" s="102"/>
      <c r="B11" s="102"/>
      <c r="C11">
        <f t="shared" si="0"/>
        <v>0</v>
      </c>
    </row>
    <row r="12" spans="1:23">
      <c r="A12" s="102"/>
      <c r="B12" s="102"/>
      <c r="C12">
        <f t="shared" si="0"/>
        <v>0</v>
      </c>
    </row>
    <row r="13" spans="1:23">
      <c r="A13" s="102"/>
      <c r="B13" s="102"/>
      <c r="C13">
        <f t="shared" si="0"/>
        <v>0</v>
      </c>
    </row>
    <row r="14" spans="1:23">
      <c r="A14" s="102"/>
      <c r="B14" s="102"/>
      <c r="C14">
        <f t="shared" si="0"/>
        <v>0</v>
      </c>
    </row>
    <row r="15" spans="1:23">
      <c r="A15" s="102"/>
      <c r="B15" s="102"/>
      <c r="C15">
        <f t="shared" si="0"/>
        <v>0</v>
      </c>
    </row>
    <row r="16" spans="1:23">
      <c r="A16" s="102"/>
      <c r="B16" s="102"/>
      <c r="C16">
        <f t="shared" si="0"/>
        <v>0</v>
      </c>
    </row>
    <row r="17" spans="1:3">
      <c r="A17" s="102"/>
      <c r="B17" s="102"/>
      <c r="C17">
        <f t="shared" si="0"/>
        <v>0</v>
      </c>
    </row>
    <row r="18" spans="1:3">
      <c r="A18" s="102"/>
      <c r="B18" s="102"/>
      <c r="C18">
        <f t="shared" si="0"/>
        <v>0</v>
      </c>
    </row>
    <row r="19" spans="1:3">
      <c r="A19" s="102"/>
      <c r="B19" s="102"/>
      <c r="C19">
        <f t="shared" si="0"/>
        <v>0</v>
      </c>
    </row>
    <row r="20" spans="1:3">
      <c r="A20" s="102"/>
      <c r="B20" s="102"/>
      <c r="C20">
        <f t="shared" si="0"/>
        <v>0</v>
      </c>
    </row>
    <row r="21" spans="1:3">
      <c r="C21">
        <f t="shared" si="0"/>
        <v>0</v>
      </c>
    </row>
  </sheetData>
  <autoFilter ref="A2:W2"/>
  <mergeCells count="3">
    <mergeCell ref="F1:G1"/>
    <mergeCell ref="L1:W1"/>
    <mergeCell ref="D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W20"/>
  <sheetViews>
    <sheetView workbookViewId="0">
      <selection activeCell="J8" sqref="J8"/>
    </sheetView>
  </sheetViews>
  <sheetFormatPr defaultRowHeight="12.75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>
      <c r="A2" s="100" t="s">
        <v>67</v>
      </c>
      <c r="B2" s="97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68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>
      <c r="A3" s="102"/>
      <c r="B3" s="102"/>
      <c r="C3" s="103">
        <f>B3-A3</f>
        <v>0</v>
      </c>
    </row>
    <row r="4" spans="1:23">
      <c r="A4" s="102"/>
      <c r="B4" s="102"/>
      <c r="C4" s="103">
        <f t="shared" ref="C4:C20" si="0">B4-A4</f>
        <v>0</v>
      </c>
    </row>
    <row r="5" spans="1:23">
      <c r="A5" s="102"/>
      <c r="B5" s="102"/>
      <c r="C5" s="103">
        <f t="shared" si="0"/>
        <v>0</v>
      </c>
    </row>
    <row r="6" spans="1:23">
      <c r="A6" s="102"/>
      <c r="B6" s="102"/>
      <c r="C6" s="103">
        <f t="shared" si="0"/>
        <v>0</v>
      </c>
    </row>
    <row r="7" spans="1:23">
      <c r="A7" s="102"/>
      <c r="B7" s="102"/>
      <c r="C7" s="103">
        <f t="shared" si="0"/>
        <v>0</v>
      </c>
    </row>
    <row r="8" spans="1:23">
      <c r="A8" s="102"/>
      <c r="B8" s="102"/>
      <c r="C8" s="103">
        <f t="shared" si="0"/>
        <v>0</v>
      </c>
    </row>
    <row r="9" spans="1:23">
      <c r="A9" s="102"/>
      <c r="B9" s="102"/>
      <c r="C9" s="103">
        <f t="shared" si="0"/>
        <v>0</v>
      </c>
    </row>
    <row r="10" spans="1:23">
      <c r="A10" s="102"/>
      <c r="B10" s="102"/>
      <c r="C10" s="103">
        <f t="shared" si="0"/>
        <v>0</v>
      </c>
    </row>
    <row r="11" spans="1:23">
      <c r="A11" s="102"/>
      <c r="B11" s="102"/>
      <c r="C11" s="103">
        <f t="shared" si="0"/>
        <v>0</v>
      </c>
    </row>
    <row r="12" spans="1:23">
      <c r="A12" s="102"/>
      <c r="B12" s="102"/>
      <c r="C12" s="103">
        <f t="shared" si="0"/>
        <v>0</v>
      </c>
    </row>
    <row r="13" spans="1:23">
      <c r="A13" s="102"/>
      <c r="B13" s="102"/>
      <c r="C13" s="103">
        <f t="shared" si="0"/>
        <v>0</v>
      </c>
    </row>
    <row r="14" spans="1:23">
      <c r="A14" s="102"/>
      <c r="B14" s="102"/>
      <c r="C14" s="103">
        <f t="shared" si="0"/>
        <v>0</v>
      </c>
    </row>
    <row r="15" spans="1:23">
      <c r="A15" s="102"/>
      <c r="B15" s="102"/>
      <c r="C15" s="103">
        <f t="shared" si="0"/>
        <v>0</v>
      </c>
    </row>
    <row r="16" spans="1:23">
      <c r="A16" s="102"/>
      <c r="B16" s="102"/>
      <c r="C16" s="103">
        <f t="shared" si="0"/>
        <v>0</v>
      </c>
    </row>
    <row r="17" spans="1:3">
      <c r="A17" s="102"/>
      <c r="B17" s="102"/>
      <c r="C17" s="103">
        <f t="shared" si="0"/>
        <v>0</v>
      </c>
    </row>
    <row r="18" spans="1:3">
      <c r="A18" s="102"/>
      <c r="B18" s="102"/>
      <c r="C18" s="103">
        <f t="shared" si="0"/>
        <v>0</v>
      </c>
    </row>
    <row r="19" spans="1:3">
      <c r="A19" s="102"/>
      <c r="B19" s="102"/>
      <c r="C19" s="103">
        <f t="shared" si="0"/>
        <v>0</v>
      </c>
    </row>
    <row r="20" spans="1:3">
      <c r="A20" s="102"/>
      <c r="B20" s="102"/>
      <c r="C20" s="103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P350"/>
  <sheetViews>
    <sheetView view="pageBreakPreview" topLeftCell="A106" zoomScaleNormal="100" workbookViewId="0">
      <selection activeCell="D69" sqref="D6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08" t="s">
        <v>35</v>
      </c>
      <c r="D7" s="108"/>
      <c r="E7" s="108"/>
      <c r="P7" s="11"/>
    </row>
    <row r="8" spans="1:16" ht="8.25" customHeight="1"/>
    <row r="9" spans="1:16" s="7" customFormat="1" ht="18" customHeight="1" thickBot="1">
      <c r="B9" s="12" t="s">
        <v>34</v>
      </c>
      <c r="C9" s="90">
        <f t="array" ref="C9">COUNTA('ICU-JAN'!E3:E1048576)</f>
        <v>0</v>
      </c>
      <c r="D9" s="9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>
      <c r="D39" s="34"/>
      <c r="E39" s="35"/>
      <c r="F39" s="36"/>
      <c r="G39" s="35"/>
    </row>
    <row r="40" spans="1:7" s="17" customFormat="1" ht="60" customHeight="1" thickBot="1">
      <c r="B40" s="13" t="s">
        <v>19</v>
      </c>
      <c r="C40" s="13" t="s">
        <v>32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>
      <c r="B67" s="37"/>
      <c r="C67" s="37"/>
      <c r="D67" s="38"/>
      <c r="E67" s="35"/>
      <c r="F67" s="37"/>
      <c r="G67" s="35"/>
    </row>
    <row r="68" spans="1:7" s="17" customFormat="1" ht="60" customHeight="1" thickBot="1">
      <c r="B68" s="13" t="s">
        <v>44</v>
      </c>
      <c r="C68" s="13" t="s">
        <v>32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>
      <c r="B95" s="37"/>
      <c r="C95" s="37"/>
      <c r="D95" s="38"/>
      <c r="E95" s="35"/>
      <c r="F95" s="37"/>
      <c r="G95" s="35"/>
    </row>
    <row r="96" spans="1:7" s="17" customFormat="1" ht="60" customHeight="1" thickBot="1">
      <c r="B96" s="13" t="s">
        <v>15</v>
      </c>
      <c r="C96" s="13" t="s">
        <v>32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>
      <c r="B123" s="42"/>
      <c r="C123" s="42"/>
      <c r="D123" s="43"/>
      <c r="E123" s="43"/>
      <c r="F123" s="43"/>
      <c r="G123" s="43"/>
    </row>
    <row r="124" spans="1:7" s="17" customFormat="1" ht="60" customHeight="1" thickBot="1">
      <c r="B124" s="13" t="s">
        <v>22</v>
      </c>
      <c r="C124" s="13" t="s">
        <v>32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>
      <c r="B151" s="44"/>
      <c r="C151" s="44"/>
      <c r="D151" s="38"/>
      <c r="E151" s="35"/>
      <c r="F151" s="37"/>
      <c r="G151" s="35"/>
    </row>
    <row r="152" spans="1:7" s="17" customFormat="1" ht="60" customHeight="1" thickBot="1">
      <c r="B152" s="13" t="s">
        <v>41</v>
      </c>
      <c r="C152" s="13" t="s">
        <v>32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>
      <c r="B179" s="45"/>
      <c r="C179" s="45"/>
      <c r="D179" s="46"/>
      <c r="E179" s="47"/>
      <c r="F179" s="46"/>
      <c r="G179" s="47"/>
    </row>
    <row r="180" spans="1:7" s="17" customFormat="1" ht="60" customHeight="1" thickBot="1">
      <c r="B180" s="13" t="s">
        <v>18</v>
      </c>
      <c r="C180" s="13" t="s">
        <v>32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>
      <c r="B207" s="45"/>
      <c r="C207" s="45"/>
      <c r="D207" s="46"/>
      <c r="E207" s="47"/>
      <c r="F207" s="46"/>
      <c r="G207" s="47"/>
    </row>
    <row r="208" spans="1:7" s="17" customFormat="1" ht="60" customHeight="1" thickBot="1">
      <c r="B208" s="13" t="s">
        <v>21</v>
      </c>
      <c r="C208" s="13" t="s">
        <v>32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>
      <c r="B235" s="45"/>
      <c r="C235" s="45"/>
      <c r="D235" s="46"/>
      <c r="E235" s="47"/>
      <c r="F235" s="46"/>
      <c r="G235" s="47"/>
    </row>
    <row r="236" spans="1:7" s="17" customFormat="1" ht="60" customHeight="1" thickBot="1">
      <c r="B236" s="13" t="s">
        <v>17</v>
      </c>
      <c r="C236" s="13" t="s">
        <v>32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>
      <c r="B263" s="44"/>
      <c r="C263" s="44"/>
      <c r="D263" s="46"/>
      <c r="E263" s="47"/>
      <c r="F263" s="46"/>
      <c r="G263" s="47"/>
    </row>
    <row r="264" spans="1:7" s="17" customFormat="1" ht="60" customHeight="1" thickBot="1">
      <c r="B264" s="13" t="s">
        <v>16</v>
      </c>
      <c r="C264" s="13" t="s">
        <v>32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>
      <c r="B291" s="45"/>
      <c r="C291" s="45"/>
      <c r="D291" s="46"/>
      <c r="E291" s="47"/>
      <c r="F291" s="46"/>
      <c r="G291" s="47"/>
    </row>
    <row r="292" spans="1:7" s="17" customFormat="1" ht="60" customHeight="1" thickBot="1">
      <c r="B292" s="13" t="s">
        <v>14</v>
      </c>
      <c r="C292" s="13" t="s">
        <v>32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>
      <c r="B319" s="45"/>
      <c r="C319" s="45"/>
      <c r="D319" s="46"/>
      <c r="E319" s="47"/>
      <c r="F319" s="46"/>
      <c r="G319" s="47"/>
    </row>
    <row r="320" spans="1:7" s="7" customFormat="1" ht="60" customHeight="1" thickBot="1">
      <c r="B320" s="13" t="s">
        <v>42</v>
      </c>
      <c r="C320" s="13" t="s">
        <v>32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  <row r="350" spans="1:7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E-4B1F1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P349"/>
  <sheetViews>
    <sheetView view="pageBreakPreview" zoomScaleNormal="100" workbookViewId="0">
      <selection activeCell="C9" sqref="C9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10" t="s">
        <v>46</v>
      </c>
      <c r="D7" s="110"/>
      <c r="E7" s="110"/>
      <c r="P7" s="11"/>
    </row>
    <row r="8" spans="1:16" ht="8.25" customHeight="1"/>
    <row r="9" spans="1:16" s="7" customFormat="1" ht="18" customHeight="1" thickBot="1">
      <c r="B9" s="12" t="s">
        <v>34</v>
      </c>
      <c r="C9" s="90">
        <f>COUNTA('ICU-FEB'!E3:E1048576)</f>
        <v>0</v>
      </c>
      <c r="D9" s="9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B66" s="37"/>
      <c r="C66" s="37"/>
      <c r="D66" s="38"/>
      <c r="E66" s="35"/>
      <c r="F66" s="37"/>
      <c r="G66" s="35"/>
    </row>
    <row r="67" spans="1:7" s="17" customFormat="1" ht="60" customHeight="1" thickBot="1"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89" fitToHeight="0" orientation="portrait" horizontalDpi="4294967293" r:id="rId1"/>
  <headerFooter alignWithMargins="0">
    <oddHeader xml:space="preserve">&amp;RPCPAccFrm E-4B1F1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/>
    <row r="2" spans="1:16" s="7" customFormat="1" ht="27.95" customHeight="1" thickBot="1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>
      <c r="B3" s="8"/>
      <c r="C3" s="8"/>
      <c r="D3" s="9"/>
      <c r="E3" s="8"/>
      <c r="G3" s="8"/>
      <c r="H3" s="8"/>
    </row>
    <row r="4" spans="1:16" s="7" customFormat="1" ht="27.95" customHeight="1" thickBot="1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>
      <c r="B5" s="8"/>
      <c r="C5" s="8"/>
      <c r="D5" s="9"/>
      <c r="E5" s="8"/>
      <c r="G5" s="8"/>
      <c r="H5" s="8"/>
    </row>
    <row r="6" spans="1:16" s="7" customFormat="1" ht="27.95" customHeight="1">
      <c r="B6" s="8" t="s">
        <v>24</v>
      </c>
      <c r="C6" s="8"/>
      <c r="D6" s="9"/>
    </row>
    <row r="7" spans="1:16" s="7" customFormat="1" ht="27.95" customHeight="1" thickBot="1">
      <c r="B7" s="4" t="s">
        <v>33</v>
      </c>
      <c r="C7" s="110" t="s">
        <v>45</v>
      </c>
      <c r="D7" s="110"/>
      <c r="E7" s="110"/>
      <c r="P7" s="11"/>
    </row>
    <row r="8" spans="1:16" ht="8.25" customHeight="1"/>
    <row r="9" spans="1:16" s="7" customFormat="1" ht="18" customHeight="1" thickBot="1">
      <c r="B9" s="12" t="s">
        <v>34</v>
      </c>
      <c r="C9" s="90">
        <f>COUNTA('ICU-MARCH'!E3:E1048576)</f>
        <v>0</v>
      </c>
      <c r="D9" s="90"/>
    </row>
    <row r="10" spans="1:16" ht="9.75" customHeight="1" thickBot="1"/>
    <row r="11" spans="1:16" s="17" customFormat="1" ht="60" customHeight="1" thickBot="1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>
      <c r="D38" s="34"/>
      <c r="E38" s="35"/>
      <c r="F38" s="36"/>
      <c r="G38" s="35"/>
    </row>
    <row r="39" spans="1:7" s="17" customFormat="1" ht="60" customHeight="1" thickBot="1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>
      <c r="A67" s="2"/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>
      <c r="B94" s="37"/>
      <c r="C94" s="37"/>
      <c r="D94" s="38"/>
      <c r="E94" s="35"/>
      <c r="F94" s="37"/>
      <c r="G94" s="35"/>
    </row>
    <row r="95" spans="1:7" s="17" customFormat="1" ht="60" customHeight="1" thickBot="1">
      <c r="A95" s="2"/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>
      <c r="B122" s="42"/>
      <c r="C122" s="42"/>
      <c r="D122" s="43"/>
      <c r="E122" s="43"/>
      <c r="F122" s="43"/>
      <c r="G122" s="43"/>
    </row>
    <row r="123" spans="1:7" s="17" customFormat="1" ht="60" customHeight="1" thickBot="1">
      <c r="A123" s="2"/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>
      <c r="B150" s="44"/>
      <c r="C150" s="44"/>
      <c r="D150" s="38"/>
      <c r="E150" s="35"/>
      <c r="F150" s="37"/>
      <c r="G150" s="35"/>
    </row>
    <row r="151" spans="1:7" s="17" customFormat="1" ht="60" customHeight="1" thickBot="1">
      <c r="A151" s="2"/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>
      <c r="B178" s="45"/>
      <c r="C178" s="45"/>
      <c r="D178" s="46"/>
      <c r="E178" s="47"/>
      <c r="F178" s="46"/>
      <c r="G178" s="47"/>
    </row>
    <row r="179" spans="1:7" s="17" customFormat="1" ht="60" customHeight="1" thickBot="1">
      <c r="A179" s="2"/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>
      <c r="B206" s="45"/>
      <c r="C206" s="45"/>
      <c r="D206" s="46"/>
      <c r="E206" s="47"/>
      <c r="F206" s="46"/>
      <c r="G206" s="47"/>
    </row>
    <row r="207" spans="1:7" s="17" customFormat="1" ht="60" customHeight="1" thickBot="1">
      <c r="A207" s="2"/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>
      <c r="B234" s="45"/>
      <c r="C234" s="45"/>
      <c r="D234" s="46"/>
      <c r="E234" s="47"/>
      <c r="F234" s="46"/>
      <c r="G234" s="47"/>
    </row>
    <row r="235" spans="1:7" s="17" customFormat="1" ht="60" customHeight="1" thickBot="1">
      <c r="A235" s="2"/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>
      <c r="B262" s="44"/>
      <c r="C262" s="44"/>
      <c r="D262" s="46"/>
      <c r="E262" s="47"/>
      <c r="F262" s="46"/>
      <c r="G262" s="47"/>
    </row>
    <row r="263" spans="1:7" s="17" customFormat="1" ht="60" customHeight="1" thickBot="1">
      <c r="A263" s="2"/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>
      <c r="B290" s="45"/>
      <c r="C290" s="45"/>
      <c r="D290" s="46"/>
      <c r="E290" s="47"/>
      <c r="F290" s="46"/>
      <c r="G290" s="47"/>
    </row>
    <row r="291" spans="1:7" s="17" customFormat="1" ht="60" customHeight="1" thickBot="1">
      <c r="A291" s="2"/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>
      <c r="B318" s="45"/>
      <c r="C318" s="45"/>
      <c r="D318" s="46"/>
      <c r="E318" s="47"/>
      <c r="F318" s="46"/>
      <c r="G318" s="47"/>
    </row>
    <row r="319" spans="1:7" s="7" customFormat="1" ht="60" customHeight="1" thickBot="1">
      <c r="A319" s="2"/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>
      <c r="B346" s="37"/>
      <c r="C346" s="37"/>
      <c r="D346" s="38"/>
      <c r="E346" s="37"/>
      <c r="F346" s="37"/>
      <c r="G346" s="37"/>
    </row>
    <row r="347" spans="1:7">
      <c r="B347" s="37"/>
      <c r="C347" s="37"/>
      <c r="D347" s="38"/>
      <c r="E347" s="37"/>
      <c r="F347" s="37"/>
      <c r="G347" s="37"/>
    </row>
    <row r="348" spans="1:7">
      <c r="B348" s="37"/>
      <c r="C348" s="37"/>
      <c r="D348" s="38"/>
      <c r="E348" s="37"/>
      <c r="F348" s="37"/>
      <c r="G348" s="37"/>
    </row>
    <row r="349" spans="1:7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>
      <c r="B2" s="53" t="s">
        <v>1</v>
      </c>
      <c r="D2" s="55" t="str">
        <f>'Census per Disease E-4B1F1 JAN'!C4</f>
        <v>ICU Census</v>
      </c>
      <c r="F2" s="56"/>
      <c r="H2" s="5"/>
      <c r="I2" s="36"/>
      <c r="J2" s="36"/>
    </row>
    <row r="3" spans="2:10" ht="18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>
      <c r="B4" s="59" t="s">
        <v>0</v>
      </c>
      <c r="C4" s="111" t="str">
        <f>'Census per Disease E-4B1F1 JAN'!C2:G2</f>
        <v>EAST AVENUE MEDICAL CENTER</v>
      </c>
      <c r="D4" s="111"/>
      <c r="E4" s="111"/>
      <c r="F4" s="111"/>
      <c r="G4" s="36"/>
      <c r="H4" s="36"/>
      <c r="I4" s="36"/>
      <c r="J4" s="36"/>
    </row>
    <row r="5" spans="2:10" ht="18.75" thickBot="1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>
      <c r="B6" s="60" t="s">
        <v>28</v>
      </c>
      <c r="C6" s="61"/>
      <c r="D6" s="61"/>
      <c r="E6" s="61"/>
      <c r="F6" s="62"/>
    </row>
    <row r="7" spans="2:10" s="33" customFormat="1" ht="45.75" customHeight="1" thickBot="1">
      <c r="B7" s="51" t="str">
        <f>'Census per Disease E-4B1F1 JAN'!C7</f>
        <v>January 2012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>
      <c r="B8" s="66"/>
      <c r="C8" s="67"/>
      <c r="D8" s="67"/>
      <c r="E8" s="67"/>
      <c r="F8" s="68"/>
    </row>
    <row r="9" spans="2:10">
      <c r="B9" s="69" t="s">
        <v>8</v>
      </c>
      <c r="C9" s="70">
        <f>SUM('Census per Disease E-4B1F1 JAN'!$D$12:$D$37)</f>
        <v>0</v>
      </c>
      <c r="D9" s="71" t="e">
        <f t="shared" ref="D9:D20" si="0">+C9/$C$23</f>
        <v>#DIV/0!</v>
      </c>
      <c r="E9" s="70">
        <f>SUM('Census per Disease E-4B1F1 JAN'!$F$12:$F$37)</f>
        <v>0</v>
      </c>
      <c r="F9" s="72" t="e">
        <f>+E9/$C9</f>
        <v>#DIV/0!</v>
      </c>
    </row>
    <row r="10" spans="2:10">
      <c r="B10" s="69" t="s">
        <v>7</v>
      </c>
      <c r="C10" s="70">
        <f>SUM('Census per Disease E-4B1F1 JAN'!$D$41:$D$65)</f>
        <v>0</v>
      </c>
      <c r="D10" s="71" t="e">
        <f t="shared" si="0"/>
        <v>#DIV/0!</v>
      </c>
      <c r="E10" s="70">
        <f>SUM('Census per Disease E-4B1F1 JAN'!$F$41:$F$65)</f>
        <v>0</v>
      </c>
      <c r="F10" s="72" t="e">
        <f t="shared" ref="F10:F20" si="1">+E10/$C10</f>
        <v>#DIV/0!</v>
      </c>
    </row>
    <row r="11" spans="2:10">
      <c r="B11" s="69" t="s">
        <v>38</v>
      </c>
      <c r="C11" s="70">
        <f>SUM('Census per Disease E-4B1F1 JAN'!$D$69:$D$93)</f>
        <v>0</v>
      </c>
      <c r="D11" s="71" t="e">
        <f t="shared" si="0"/>
        <v>#DIV/0!</v>
      </c>
      <c r="E11" s="70">
        <f>SUM('Census per Disease E-4B1F1 JAN'!$F$69:$F$93)</f>
        <v>0</v>
      </c>
      <c r="F11" s="72" t="e">
        <f t="shared" si="1"/>
        <v>#DIV/0!</v>
      </c>
    </row>
    <row r="12" spans="2:10">
      <c r="B12" s="69" t="s">
        <v>3</v>
      </c>
      <c r="C12" s="70">
        <f>SUM('Census per Disease E-4B1F1 JAN'!$D$97:$D$121)</f>
        <v>0</v>
      </c>
      <c r="D12" s="71" t="e">
        <f t="shared" si="0"/>
        <v>#DIV/0!</v>
      </c>
      <c r="E12" s="70">
        <f>SUM('Census per Disease E-4B1F1 JAN'!$F$97:$F$121)</f>
        <v>0</v>
      </c>
      <c r="F12" s="72" t="e">
        <f t="shared" si="1"/>
        <v>#DIV/0!</v>
      </c>
    </row>
    <row r="13" spans="2:10">
      <c r="B13" s="69" t="s">
        <v>10</v>
      </c>
      <c r="C13" s="70">
        <f>SUM('Census per Disease E-4B1F1 JAN'!$D$125:$D$149)</f>
        <v>0</v>
      </c>
      <c r="D13" s="71" t="e">
        <f t="shared" si="0"/>
        <v>#DIV/0!</v>
      </c>
      <c r="E13" s="70">
        <f>SUM('Census per Disease E-4B1F1 JAN'!$F$125:$F$149)</f>
        <v>0</v>
      </c>
      <c r="F13" s="72" t="e">
        <f t="shared" si="1"/>
        <v>#DIV/0!</v>
      </c>
    </row>
    <row r="14" spans="2:10">
      <c r="B14" s="69" t="s">
        <v>37</v>
      </c>
      <c r="C14" s="70">
        <f>SUM('Census per Disease E-4B1F1 JAN'!$D$153:$D$177)</f>
        <v>0</v>
      </c>
      <c r="D14" s="71" t="e">
        <f t="shared" si="0"/>
        <v>#DIV/0!</v>
      </c>
      <c r="E14" s="70">
        <f>SUM('Census per Disease E-4B1F1 JAN'!$F$153:$F$177)</f>
        <v>0</v>
      </c>
      <c r="F14" s="72" t="e">
        <f t="shared" si="1"/>
        <v>#DIV/0!</v>
      </c>
    </row>
    <row r="15" spans="2:10">
      <c r="B15" s="69" t="s">
        <v>6</v>
      </c>
      <c r="C15" s="70">
        <f>SUM('Census per Disease E-4B1F1 JAN'!$D$181:$D$205)</f>
        <v>0</v>
      </c>
      <c r="D15" s="71" t="e">
        <f t="shared" si="0"/>
        <v>#DIV/0!</v>
      </c>
      <c r="E15" s="70">
        <f>SUM('Census per Disease E-4B1F1 JAN'!$F$181:$F$205)</f>
        <v>0</v>
      </c>
      <c r="F15" s="72" t="e">
        <f t="shared" si="1"/>
        <v>#DIV/0!</v>
      </c>
    </row>
    <row r="16" spans="2:10">
      <c r="B16" s="69" t="s">
        <v>9</v>
      </c>
      <c r="C16" s="70">
        <f>SUM('Census per Disease E-4B1F1 JAN'!$D$209:$D$233)</f>
        <v>0</v>
      </c>
      <c r="D16" s="71" t="e">
        <f t="shared" si="0"/>
        <v>#DIV/0!</v>
      </c>
      <c r="E16" s="70">
        <f>SUM('Census per Disease E-4B1F1 JAN'!$F$209:$F$233)</f>
        <v>0</v>
      </c>
      <c r="F16" s="72" t="e">
        <f t="shared" si="1"/>
        <v>#DIV/0!</v>
      </c>
    </row>
    <row r="17" spans="2:9">
      <c r="B17" s="69" t="s">
        <v>5</v>
      </c>
      <c r="C17" s="70">
        <f>SUM('Census per Disease E-4B1F1 JAN'!$D$237:$D$261)</f>
        <v>0</v>
      </c>
      <c r="D17" s="71" t="e">
        <f t="shared" si="0"/>
        <v>#DIV/0!</v>
      </c>
      <c r="E17" s="70">
        <f>SUM('Census per Disease E-4B1F1 JAN'!$F$237:$F$261)</f>
        <v>0</v>
      </c>
      <c r="F17" s="72" t="e">
        <f t="shared" si="1"/>
        <v>#DIV/0!</v>
      </c>
    </row>
    <row r="18" spans="2:9">
      <c r="B18" s="69" t="s">
        <v>4</v>
      </c>
      <c r="C18" s="70">
        <f>SUM('Census per Disease E-4B1F1 JAN'!$D$265:$D$289)</f>
        <v>0</v>
      </c>
      <c r="D18" s="71" t="e">
        <f t="shared" si="0"/>
        <v>#DIV/0!</v>
      </c>
      <c r="E18" s="70">
        <f>SUM('Census per Disease E-4B1F1 JAN'!$F$265:$F$289)</f>
        <v>0</v>
      </c>
      <c r="F18" s="72" t="e">
        <f t="shared" si="1"/>
        <v>#DIV/0!</v>
      </c>
    </row>
    <row r="19" spans="2:9">
      <c r="B19" s="69" t="s">
        <v>2</v>
      </c>
      <c r="C19" s="70">
        <f>SUM('Census per Disease E-4B1F1 JAN'!$D$293:$D$317)</f>
        <v>0</v>
      </c>
      <c r="D19" s="71" t="e">
        <f t="shared" si="0"/>
        <v>#DIV/0!</v>
      </c>
      <c r="E19" s="70">
        <f>SUM('Census per Disease E-4B1F1 JAN'!$F$293:$F$317)</f>
        <v>0</v>
      </c>
      <c r="F19" s="72" t="e">
        <f t="shared" si="1"/>
        <v>#DIV/0!</v>
      </c>
    </row>
    <row r="20" spans="2:9">
      <c r="B20" s="69" t="s">
        <v>43</v>
      </c>
      <c r="C20" s="70">
        <f>SUM('Census per Disease E-4B1F1 JAN'!$D$321:$D$345)</f>
        <v>0</v>
      </c>
      <c r="D20" s="71" t="e">
        <f t="shared" si="0"/>
        <v>#DIV/0!</v>
      </c>
      <c r="E20" s="70">
        <f>SUM('Census per Disease E-4B1F1 JAN'!$F$321:$F$345)</f>
        <v>0</v>
      </c>
      <c r="F20" s="72" t="e">
        <f t="shared" si="1"/>
        <v>#DIV/0!</v>
      </c>
    </row>
    <row r="21" spans="2:9" ht="13.5" thickBot="1">
      <c r="B21" s="73"/>
      <c r="C21" s="74"/>
      <c r="D21" s="74"/>
      <c r="E21" s="74"/>
      <c r="F21" s="75"/>
    </row>
    <row r="22" spans="2:9" ht="13.5" thickBot="1"/>
    <row r="23" spans="2:9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>
      <c r="B24" s="80" t="s">
        <v>25</v>
      </c>
      <c r="C24" s="81">
        <f>'Census per Disease E-4B1F1 JAN'!C9:D9</f>
        <v>0</v>
      </c>
      <c r="D24" s="112" t="s">
        <v>27</v>
      </c>
      <c r="E24" s="113"/>
      <c r="F24" s="82" t="e">
        <f>+F23/C24</f>
        <v>#DIV/0!</v>
      </c>
    </row>
    <row r="26" spans="2:9">
      <c r="B26" s="83"/>
      <c r="C26" s="84"/>
      <c r="D26" s="85"/>
      <c r="E26" s="84"/>
      <c r="F26" s="84"/>
      <c r="G26" s="36"/>
    </row>
    <row r="27" spans="2:9" ht="18.75" thickBot="1">
      <c r="B27" s="53" t="s">
        <v>1</v>
      </c>
      <c r="D27" s="55" t="str">
        <f>'Census per Disease E-4B1F1 FEB'!C4</f>
        <v>ICU Census</v>
      </c>
      <c r="F27" s="56"/>
      <c r="G27" s="36"/>
    </row>
    <row r="28" spans="2:9" ht="18">
      <c r="B28" s="53"/>
      <c r="D28" s="53"/>
      <c r="E28" s="57"/>
      <c r="F28" s="58"/>
      <c r="G28" s="36"/>
    </row>
    <row r="29" spans="2:9" ht="16.5" thickBot="1">
      <c r="B29" s="59" t="s">
        <v>0</v>
      </c>
      <c r="C29" s="111" t="str">
        <f>'Census per Disease E-4B1F1 FEB'!C2:H2</f>
        <v>EAST AVENUE MEDICAL CENTER</v>
      </c>
      <c r="D29" s="111"/>
      <c r="E29" s="111"/>
      <c r="F29" s="111"/>
      <c r="G29" s="36"/>
    </row>
    <row r="30" spans="2:9" ht="18.75" thickBot="1">
      <c r="B30" s="53"/>
      <c r="D30" s="53"/>
      <c r="E30" s="57"/>
      <c r="F30" s="58"/>
      <c r="G30" s="36"/>
    </row>
    <row r="31" spans="2:9" ht="16.5" thickBot="1">
      <c r="B31" s="60" t="s">
        <v>28</v>
      </c>
      <c r="C31" s="61"/>
      <c r="D31" s="61"/>
      <c r="E31" s="61"/>
      <c r="F31" s="62"/>
      <c r="G31" s="36"/>
    </row>
    <row r="32" spans="2:9" ht="39" thickBot="1">
      <c r="B32" s="50" t="str">
        <f>'Census per Disease E-4B1F1 FEB'!C7</f>
        <v>February 2012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>
      <c r="B33" s="66"/>
      <c r="C33" s="67"/>
      <c r="D33" s="67"/>
      <c r="E33" s="67"/>
      <c r="F33" s="68"/>
      <c r="G33" s="36"/>
    </row>
    <row r="34" spans="2:7">
      <c r="B34" s="69" t="s">
        <v>8</v>
      </c>
      <c r="C34" s="70">
        <f>SUM('Census per Disease E-4B1F1 FEB'!$D$12:$D$36)</f>
        <v>0</v>
      </c>
      <c r="D34" s="71" t="e">
        <f t="shared" ref="D34:D45" si="2">+C34/$C$23</f>
        <v>#DIV/0!</v>
      </c>
      <c r="E34" s="70">
        <f>SUM('Census per Disease E-4B1F1 FEB'!$F$12:$F$36)</f>
        <v>0</v>
      </c>
      <c r="F34" s="72" t="e">
        <f>+E34/$C34</f>
        <v>#DIV/0!</v>
      </c>
      <c r="G34" s="36"/>
    </row>
    <row r="35" spans="2:7">
      <c r="B35" s="69" t="s">
        <v>7</v>
      </c>
      <c r="C35" s="70">
        <f>SUM('Census per Disease E-4B1F1 FEB'!$D$40:$D$64)</f>
        <v>0</v>
      </c>
      <c r="D35" s="71" t="e">
        <f t="shared" si="2"/>
        <v>#DIV/0!</v>
      </c>
      <c r="E35" s="70">
        <f>SUM('Census per Disease E-4B1F1 FEB'!$F$40:$F$64)</f>
        <v>0</v>
      </c>
      <c r="F35" s="72" t="e">
        <f t="shared" ref="F35:F45" si="3">+E35/$C35</f>
        <v>#DIV/0!</v>
      </c>
      <c r="G35" s="36"/>
    </row>
    <row r="36" spans="2:7">
      <c r="B36" s="69" t="s">
        <v>38</v>
      </c>
      <c r="C36" s="70">
        <f>SUM('Census per Disease E-4B1F1 FEB'!$D$68:$D$92)</f>
        <v>0</v>
      </c>
      <c r="D36" s="71" t="e">
        <f t="shared" si="2"/>
        <v>#DIV/0!</v>
      </c>
      <c r="E36" s="70">
        <f>SUM('Census per Disease E-4B1F1 FEB'!$F$68:$F$92)</f>
        <v>0</v>
      </c>
      <c r="F36" s="72" t="e">
        <f t="shared" si="3"/>
        <v>#DIV/0!</v>
      </c>
      <c r="G36" s="36"/>
    </row>
    <row r="37" spans="2:7">
      <c r="B37" s="69" t="s">
        <v>3</v>
      </c>
      <c r="C37" s="70">
        <f>SUM('Census per Disease E-4B1F1 FEB'!$D$96:$D$120)</f>
        <v>0</v>
      </c>
      <c r="D37" s="71" t="e">
        <f t="shared" si="2"/>
        <v>#DIV/0!</v>
      </c>
      <c r="E37" s="70">
        <f>SUM('Census per Disease E-4B1F1 FEB'!$F$96:$F$120)</f>
        <v>0</v>
      </c>
      <c r="F37" s="72" t="e">
        <f t="shared" si="3"/>
        <v>#DIV/0!</v>
      </c>
    </row>
    <row r="38" spans="2:7">
      <c r="B38" s="69" t="s">
        <v>10</v>
      </c>
      <c r="C38" s="70">
        <f>SUM('Census per Disease E-4B1F1 FEB'!$D$124:$D$148)</f>
        <v>0</v>
      </c>
      <c r="D38" s="71" t="e">
        <f t="shared" si="2"/>
        <v>#DIV/0!</v>
      </c>
      <c r="E38" s="70">
        <f>SUM('Census per Disease E-4B1F1 FEB'!$F$124:$F$148)</f>
        <v>0</v>
      </c>
      <c r="F38" s="72" t="e">
        <f t="shared" si="3"/>
        <v>#DIV/0!</v>
      </c>
    </row>
    <row r="39" spans="2:7">
      <c r="B39" s="69" t="s">
        <v>37</v>
      </c>
      <c r="C39" s="70">
        <f>SUM('Census per Disease E-4B1F1 FEB'!$D$152:$D$176)</f>
        <v>0</v>
      </c>
      <c r="D39" s="71" t="e">
        <f t="shared" si="2"/>
        <v>#DIV/0!</v>
      </c>
      <c r="E39" s="70">
        <f>SUM('Census per Disease E-4B1F1 FEB'!$F$152:$F$176)</f>
        <v>0</v>
      </c>
      <c r="F39" s="72" t="e">
        <f t="shared" si="3"/>
        <v>#DIV/0!</v>
      </c>
    </row>
    <row r="40" spans="2:7">
      <c r="B40" s="69" t="s">
        <v>6</v>
      </c>
      <c r="C40" s="70">
        <f>SUM('Census per Disease E-4B1F1 FEB'!$D$180:$D$204)</f>
        <v>0</v>
      </c>
      <c r="D40" s="71" t="e">
        <f t="shared" si="2"/>
        <v>#DIV/0!</v>
      </c>
      <c r="E40" s="70">
        <f>SUM('Census per Disease E-4B1F1 FEB'!$F$180:$F$204)</f>
        <v>0</v>
      </c>
      <c r="F40" s="72" t="e">
        <f t="shared" si="3"/>
        <v>#DIV/0!</v>
      </c>
    </row>
    <row r="41" spans="2:7">
      <c r="B41" s="69" t="s">
        <v>9</v>
      </c>
      <c r="C41" s="70">
        <f>SUM('Census per Disease E-4B1F1 FEB'!$D$208:$D$232)</f>
        <v>0</v>
      </c>
      <c r="D41" s="71" t="e">
        <f t="shared" si="2"/>
        <v>#DIV/0!</v>
      </c>
      <c r="E41" s="70">
        <f>SUM('Census per Disease E-4B1F1 FEB'!$F$208:$F$232)</f>
        <v>0</v>
      </c>
      <c r="F41" s="72" t="e">
        <f t="shared" si="3"/>
        <v>#DIV/0!</v>
      </c>
    </row>
    <row r="42" spans="2:7">
      <c r="B42" s="69" t="s">
        <v>5</v>
      </c>
      <c r="C42" s="70">
        <f>SUM('Census per Disease E-4B1F1 FEB'!$D$236:$D$260)</f>
        <v>0</v>
      </c>
      <c r="D42" s="71" t="e">
        <f t="shared" si="2"/>
        <v>#DIV/0!</v>
      </c>
      <c r="E42" s="70">
        <f>SUM('Census per Disease E-4B1F1 FEB'!$F$236:$F$260)</f>
        <v>0</v>
      </c>
      <c r="F42" s="72" t="e">
        <f t="shared" si="3"/>
        <v>#DIV/0!</v>
      </c>
    </row>
    <row r="43" spans="2:7">
      <c r="B43" s="69" t="s">
        <v>4</v>
      </c>
      <c r="C43" s="70">
        <f>SUM('Census per Disease E-4B1F1 FEB'!$D$264:$D$288)</f>
        <v>0</v>
      </c>
      <c r="D43" s="71" t="e">
        <f t="shared" si="2"/>
        <v>#DIV/0!</v>
      </c>
      <c r="E43" s="70">
        <f>SUM('Census per Disease E-4B1F1 FEB'!$F$264:$F$288)</f>
        <v>0</v>
      </c>
      <c r="F43" s="72" t="e">
        <f t="shared" si="3"/>
        <v>#DIV/0!</v>
      </c>
    </row>
    <row r="44" spans="2:7">
      <c r="B44" s="69" t="s">
        <v>2</v>
      </c>
      <c r="C44" s="70">
        <f>SUM('Census per Disease E-4B1F1 FEB'!$D$292:$D$316)</f>
        <v>0</v>
      </c>
      <c r="D44" s="71" t="e">
        <f t="shared" si="2"/>
        <v>#DIV/0!</v>
      </c>
      <c r="E44" s="70">
        <f>SUM('Census per Disease E-4B1F1 FEB'!$F$292:$F$316)</f>
        <v>0</v>
      </c>
      <c r="F44" s="72" t="e">
        <f t="shared" si="3"/>
        <v>#DIV/0!</v>
      </c>
    </row>
    <row r="45" spans="2:7">
      <c r="B45" s="69" t="s">
        <v>43</v>
      </c>
      <c r="C45" s="70">
        <f>SUM('Census per Disease E-4B1F1 FEB'!$D$320:$D$344)</f>
        <v>0</v>
      </c>
      <c r="D45" s="71" t="e">
        <f t="shared" si="2"/>
        <v>#DIV/0!</v>
      </c>
      <c r="E45" s="70">
        <f>SUM('Census per Disease E-4B1F1 FEB'!$F$320:$F$344)</f>
        <v>0</v>
      </c>
      <c r="F45" s="72" t="e">
        <f t="shared" si="3"/>
        <v>#DIV/0!</v>
      </c>
    </row>
    <row r="46" spans="2:7" ht="13.5" thickBot="1">
      <c r="B46" s="73"/>
      <c r="C46" s="74"/>
      <c r="D46" s="74"/>
      <c r="E46" s="74"/>
      <c r="F46" s="75"/>
    </row>
    <row r="47" spans="2:7" ht="13.5" thickBot="1"/>
    <row r="48" spans="2:7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>
      <c r="B49" s="80" t="s">
        <v>25</v>
      </c>
      <c r="C49" s="81">
        <f>'Census per Disease E-4B1F1 FEB'!C9:D9</f>
        <v>0</v>
      </c>
      <c r="D49" s="112" t="s">
        <v>27</v>
      </c>
      <c r="E49" s="113"/>
      <c r="F49" s="82" t="e">
        <f>+F48/C49</f>
        <v>#DIV/0!</v>
      </c>
    </row>
    <row r="52" spans="2:6" ht="18.75" thickBot="1">
      <c r="B52" s="53" t="s">
        <v>1</v>
      </c>
      <c r="D52" s="55" t="str">
        <f>'Census per Disease E-4B1F1 MAR'!C4</f>
        <v>ICU Census</v>
      </c>
      <c r="F52" s="56"/>
    </row>
    <row r="53" spans="2:6" ht="18">
      <c r="B53" s="53"/>
      <c r="D53" s="53"/>
      <c r="E53" s="57"/>
      <c r="F53" s="58"/>
    </row>
    <row r="54" spans="2:6" ht="16.5" thickBot="1">
      <c r="B54" s="59" t="s">
        <v>0</v>
      </c>
      <c r="C54" s="111" t="str">
        <f>'Census per Disease E-4B1F1 MAR'!C2:H2</f>
        <v>EAST AVENUE MEDICAL CENTER</v>
      </c>
      <c r="D54" s="111"/>
      <c r="E54" s="111"/>
      <c r="F54" s="111"/>
    </row>
    <row r="55" spans="2:6" ht="18.75" thickBot="1">
      <c r="B55" s="53"/>
      <c r="D55" s="53"/>
      <c r="E55" s="57"/>
      <c r="F55" s="58"/>
    </row>
    <row r="56" spans="2:6" ht="16.5" thickBot="1">
      <c r="B56" s="60" t="s">
        <v>28</v>
      </c>
      <c r="C56" s="61"/>
      <c r="D56" s="61"/>
      <c r="E56" s="61"/>
      <c r="F56" s="62"/>
    </row>
    <row r="57" spans="2:6" ht="39" thickBot="1">
      <c r="B57" s="50" t="str">
        <f>'Census per Disease E-4B1F1 MAR'!C7</f>
        <v>March 2012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>
      <c r="B58" s="66"/>
      <c r="C58" s="67"/>
      <c r="D58" s="67"/>
      <c r="E58" s="67"/>
      <c r="F58" s="68"/>
    </row>
    <row r="59" spans="2:6">
      <c r="B59" s="69" t="s">
        <v>8</v>
      </c>
      <c r="C59" s="70">
        <f>SUM('Census per Disease E-4B1F1 MAR'!$D$12:$D$36)</f>
        <v>0</v>
      </c>
      <c r="D59" s="71" t="e">
        <f t="shared" ref="D59:D70" si="4">+C59/$C$23</f>
        <v>#DIV/0!</v>
      </c>
      <c r="E59" s="70">
        <f>SUM('Census per Disease E-4B1F1 MAR'!$F$12:$F$36)</f>
        <v>0</v>
      </c>
      <c r="F59" s="72" t="e">
        <f>+E59/$C59</f>
        <v>#DIV/0!</v>
      </c>
    </row>
    <row r="60" spans="2:6">
      <c r="B60" s="69" t="s">
        <v>7</v>
      </c>
      <c r="C60" s="70">
        <f>SUM('Census per Disease E-4B1F1 MAR'!$D$40:$D$64)</f>
        <v>0</v>
      </c>
      <c r="D60" s="71" t="e">
        <f t="shared" si="4"/>
        <v>#DIV/0!</v>
      </c>
      <c r="E60" s="70">
        <f>SUM('Census per Disease E-4B1F1 MAR'!$F$40:$F$64)</f>
        <v>0</v>
      </c>
      <c r="F60" s="72" t="e">
        <f t="shared" ref="F60:F70" si="5">+E60/$C60</f>
        <v>#DIV/0!</v>
      </c>
    </row>
    <row r="61" spans="2:6">
      <c r="B61" s="69" t="s">
        <v>38</v>
      </c>
      <c r="C61" s="70">
        <f>SUM('Census per Disease E-4B1F1 MAR'!$D$68:$D$92)</f>
        <v>0</v>
      </c>
      <c r="D61" s="71" t="e">
        <f t="shared" si="4"/>
        <v>#DIV/0!</v>
      </c>
      <c r="E61" s="70">
        <f>SUM('Census per Disease E-4B1F1 MAR'!$F$68:$F$92)</f>
        <v>0</v>
      </c>
      <c r="F61" s="72" t="e">
        <f t="shared" si="5"/>
        <v>#DIV/0!</v>
      </c>
    </row>
    <row r="62" spans="2:6">
      <c r="B62" s="69" t="s">
        <v>3</v>
      </c>
      <c r="C62" s="70">
        <f>SUM('Census per Disease E-4B1F1 MAR'!$D$96:$D$120)</f>
        <v>0</v>
      </c>
      <c r="D62" s="71" t="e">
        <f t="shared" si="4"/>
        <v>#DIV/0!</v>
      </c>
      <c r="E62" s="70">
        <f>SUM('Census per Disease E-4B1F1 MAR'!$F$96:$F$120)</f>
        <v>0</v>
      </c>
      <c r="F62" s="72" t="e">
        <f t="shared" si="5"/>
        <v>#DIV/0!</v>
      </c>
    </row>
    <row r="63" spans="2:6">
      <c r="B63" s="69" t="s">
        <v>10</v>
      </c>
      <c r="C63" s="70">
        <f>SUM('Census per Disease E-4B1F1 MAR'!$D$124:$D$148)</f>
        <v>0</v>
      </c>
      <c r="D63" s="71" t="e">
        <f t="shared" si="4"/>
        <v>#DIV/0!</v>
      </c>
      <c r="E63" s="70">
        <f>SUM('Census per Disease E-4B1F1 MAR'!$F$124:$F$148)</f>
        <v>0</v>
      </c>
      <c r="F63" s="72" t="e">
        <f t="shared" si="5"/>
        <v>#DIV/0!</v>
      </c>
    </row>
    <row r="64" spans="2:6">
      <c r="B64" s="69" t="s">
        <v>37</v>
      </c>
      <c r="C64" s="70">
        <f>SUM('Census per Disease E-4B1F1 MAR'!$D$152:$D$176)</f>
        <v>0</v>
      </c>
      <c r="D64" s="71" t="e">
        <f t="shared" si="4"/>
        <v>#DIV/0!</v>
      </c>
      <c r="E64" s="70">
        <f>SUM('Census per Disease E-4B1F1 MAR'!$F$152:$F$176)</f>
        <v>0</v>
      </c>
      <c r="F64" s="72" t="e">
        <f t="shared" si="5"/>
        <v>#DIV/0!</v>
      </c>
    </row>
    <row r="65" spans="2:6">
      <c r="B65" s="69" t="s">
        <v>6</v>
      </c>
      <c r="C65" s="70">
        <f>SUM('Census per Disease E-4B1F1 MAR'!$D$180:$D$204)</f>
        <v>0</v>
      </c>
      <c r="D65" s="71" t="e">
        <f t="shared" si="4"/>
        <v>#DIV/0!</v>
      </c>
      <c r="E65" s="70">
        <f>SUM('Census per Disease E-4B1F1 MAR'!$F$180:$F$204)</f>
        <v>0</v>
      </c>
      <c r="F65" s="72" t="e">
        <f t="shared" si="5"/>
        <v>#DIV/0!</v>
      </c>
    </row>
    <row r="66" spans="2:6">
      <c r="B66" s="69" t="s">
        <v>9</v>
      </c>
      <c r="C66" s="70">
        <f>SUM('Census per Disease E-4B1F1 MAR'!$D$208:$D$232)</f>
        <v>0</v>
      </c>
      <c r="D66" s="71" t="e">
        <f t="shared" si="4"/>
        <v>#DIV/0!</v>
      </c>
      <c r="E66" s="70">
        <f>SUM('Census per Disease E-4B1F1 MAR'!$F$208:$F$232)</f>
        <v>0</v>
      </c>
      <c r="F66" s="72" t="e">
        <f t="shared" si="5"/>
        <v>#DIV/0!</v>
      </c>
    </row>
    <row r="67" spans="2:6">
      <c r="B67" s="69" t="s">
        <v>5</v>
      </c>
      <c r="C67" s="70">
        <f>SUM('Census per Disease E-4B1F1 MAR'!$D$236:$D$260)</f>
        <v>0</v>
      </c>
      <c r="D67" s="71" t="e">
        <f t="shared" si="4"/>
        <v>#DIV/0!</v>
      </c>
      <c r="E67" s="70">
        <f>SUM('Census per Disease E-4B1F1 MAR'!$F$236:$F$260)</f>
        <v>0</v>
      </c>
      <c r="F67" s="72" t="e">
        <f t="shared" si="5"/>
        <v>#DIV/0!</v>
      </c>
    </row>
    <row r="68" spans="2:6">
      <c r="B68" s="69" t="s">
        <v>4</v>
      </c>
      <c r="C68" s="70">
        <f>SUM('Census per Disease E-4B1F1 MAR'!$D$264:$D$288)</f>
        <v>0</v>
      </c>
      <c r="D68" s="71" t="e">
        <f t="shared" si="4"/>
        <v>#DIV/0!</v>
      </c>
      <c r="E68" s="70">
        <f>SUM('Census per Disease E-4B1F1 MAR'!$F$264:$F$288)</f>
        <v>0</v>
      </c>
      <c r="F68" s="72" t="e">
        <f t="shared" si="5"/>
        <v>#DIV/0!</v>
      </c>
    </row>
    <row r="69" spans="2:6">
      <c r="B69" s="69" t="s">
        <v>2</v>
      </c>
      <c r="C69" s="70">
        <f>SUM('Census per Disease E-4B1F1 MAR'!$D$292:$D$316)</f>
        <v>0</v>
      </c>
      <c r="D69" s="71" t="e">
        <f t="shared" si="4"/>
        <v>#DIV/0!</v>
      </c>
      <c r="E69" s="70">
        <f>SUM('Census per Disease E-4B1F1 MAR'!$F$292:$F$316)</f>
        <v>0</v>
      </c>
      <c r="F69" s="72" t="e">
        <f t="shared" si="5"/>
        <v>#DIV/0!</v>
      </c>
    </row>
    <row r="70" spans="2:6">
      <c r="B70" s="69" t="s">
        <v>43</v>
      </c>
      <c r="C70" s="70">
        <f>SUM('Census per Disease E-4B1F1 MAR'!$D$320:$D$344)</f>
        <v>0</v>
      </c>
      <c r="D70" s="71" t="e">
        <f t="shared" si="4"/>
        <v>#DIV/0!</v>
      </c>
      <c r="E70" s="70">
        <f>SUM('Census per Disease E-4B1F1 MAR'!$F$320:$F$344)</f>
        <v>0</v>
      </c>
      <c r="F70" s="72" t="e">
        <f t="shared" si="5"/>
        <v>#DIV/0!</v>
      </c>
    </row>
    <row r="71" spans="2:6" ht="13.5" thickBot="1">
      <c r="B71" s="73"/>
      <c r="C71" s="74"/>
      <c r="D71" s="74"/>
      <c r="E71" s="74"/>
      <c r="F71" s="75"/>
    </row>
    <row r="72" spans="2:6" ht="13.5" thickBot="1"/>
    <row r="73" spans="2:6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>
      <c r="B74" s="80" t="s">
        <v>25</v>
      </c>
      <c r="C74" s="81">
        <f>'Census per Disease E-4B1F1 MAR'!C9:D9</f>
        <v>0</v>
      </c>
      <c r="D74" s="112" t="s">
        <v>27</v>
      </c>
      <c r="E74" s="113"/>
      <c r="F74" s="82" t="e">
        <f>+F73/C74</f>
        <v>#DIV/0!</v>
      </c>
    </row>
    <row r="77" spans="2:6" ht="18.75" thickBot="1">
      <c r="B77" s="53" t="s">
        <v>1</v>
      </c>
      <c r="D77" s="55" t="str">
        <f>D52</f>
        <v>ICU Census</v>
      </c>
      <c r="F77" s="56"/>
    </row>
    <row r="78" spans="2:6" ht="18">
      <c r="B78" s="53"/>
      <c r="D78" s="53"/>
      <c r="E78" s="57"/>
      <c r="F78" s="58"/>
    </row>
    <row r="79" spans="2:6" ht="16.5" thickBot="1">
      <c r="B79" s="59" t="s">
        <v>0</v>
      </c>
      <c r="C79" s="111" t="str">
        <f>C54</f>
        <v>EAST AVENUE MEDICAL CENTER</v>
      </c>
      <c r="D79" s="111"/>
      <c r="E79" s="111"/>
      <c r="F79" s="111"/>
    </row>
    <row r="80" spans="2:6" ht="18.75" thickBot="1">
      <c r="B80" s="53"/>
      <c r="D80" s="53"/>
      <c r="E80" s="57"/>
      <c r="F80" s="58"/>
    </row>
    <row r="81" spans="2:6" ht="16.5" thickBot="1">
      <c r="B81" s="60" t="s">
        <v>47</v>
      </c>
      <c r="C81" s="114" t="s">
        <v>11</v>
      </c>
      <c r="D81" s="117" t="s">
        <v>31</v>
      </c>
      <c r="E81" s="120" t="s">
        <v>23</v>
      </c>
      <c r="F81" s="123" t="s">
        <v>12</v>
      </c>
    </row>
    <row r="82" spans="2:6" ht="15.75">
      <c r="B82" s="86" t="str">
        <f>B7</f>
        <v>January 2012</v>
      </c>
      <c r="C82" s="115"/>
      <c r="D82" s="118"/>
      <c r="E82" s="121"/>
      <c r="F82" s="124"/>
    </row>
    <row r="83" spans="2:6" ht="15.6" customHeight="1">
      <c r="B83" s="87" t="str">
        <f>B32</f>
        <v>February 2012</v>
      </c>
      <c r="C83" s="115"/>
      <c r="D83" s="118"/>
      <c r="E83" s="121"/>
      <c r="F83" s="124"/>
    </row>
    <row r="84" spans="2:6" ht="15.6" customHeight="1" thickBot="1">
      <c r="B84" s="52" t="str">
        <f>B57</f>
        <v>March 2012</v>
      </c>
      <c r="C84" s="116"/>
      <c r="D84" s="119"/>
      <c r="E84" s="122"/>
      <c r="F84" s="125"/>
    </row>
    <row r="85" spans="2:6">
      <c r="B85" s="66"/>
      <c r="C85" s="67"/>
      <c r="D85" s="67"/>
      <c r="E85" s="67"/>
      <c r="F85" s="68"/>
    </row>
    <row r="86" spans="2:6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>
      <c r="B98" s="73"/>
      <c r="C98" s="74"/>
      <c r="D98" s="74"/>
      <c r="E98" s="74"/>
      <c r="F98" s="75"/>
    </row>
    <row r="99" spans="2:6" ht="13.5" thickBot="1"/>
    <row r="100" spans="2:6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>
      <c r="B101" s="80" t="s">
        <v>25</v>
      </c>
      <c r="C101" s="81">
        <f>C24+C49+C74</f>
        <v>0</v>
      </c>
      <c r="D101" s="112" t="s">
        <v>27</v>
      </c>
      <c r="E101" s="113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E-4B1F2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ICU-JAN</vt:lpstr>
      <vt:lpstr>ICU-FEB</vt:lpstr>
      <vt:lpstr>ICU-MARCH</vt:lpstr>
      <vt:lpstr>Census per Disease E-4B1F1 JAN</vt:lpstr>
      <vt:lpstr>Census per Disease E-4B1F1 FEB</vt:lpstr>
      <vt:lpstr>Census per Disease E-4B1F1 MAR</vt:lpstr>
      <vt:lpstr>Census Summary per Subspec B1F2</vt:lpstr>
      <vt:lpstr>'Census per Disease E-4B1F1 FEB'!Print_Area</vt:lpstr>
      <vt:lpstr>'Census per Disease E-4B1F1 JAN'!Print_Area</vt:lpstr>
      <vt:lpstr>'Census per Disease E-4B1F1 MAR'!Print_Area</vt:lpstr>
      <vt:lpstr>'Census Summary per Subspec B1F2'!Print_Area</vt:lpstr>
    </vt:vector>
  </TitlesOfParts>
  <Company>PCP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2013-09-11T09:40:00Z</cp:lastPrinted>
  <dcterms:created xsi:type="dcterms:W3CDTF">2001-02-07T07:00:06Z</dcterms:created>
  <dcterms:modified xsi:type="dcterms:W3CDTF">2017-05-26T02:08:09Z</dcterms:modified>
</cp:coreProperties>
</file>