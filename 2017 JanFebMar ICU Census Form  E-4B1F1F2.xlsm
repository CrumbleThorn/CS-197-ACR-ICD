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/>
  </bookViews>
  <sheets>
    <sheet name="ICU-JAN" sheetId="31" r:id="rId1"/>
    <sheet name="ICU-FEB" sheetId="28" r:id="rId2"/>
    <sheet name="ICU-MARCH" sheetId="32" r:id="rId3"/>
    <sheet name="Census per Disease E-4B1F1 JAN" sheetId="25" r:id="rId4"/>
    <sheet name="Census per Disease E-4B1F1 FEB" sheetId="26" r:id="rId5"/>
    <sheet name="Census per Disease E-4B1F1 MAR" sheetId="27" r:id="rId6"/>
    <sheet name="Census Summary per Subspec B1F2" sheetId="21" r:id="rId7"/>
  </sheets>
  <definedNames>
    <definedName name="_xlnm._FilterDatabase" localSheetId="1" hidden="1">'ICU-FEB'!$A$2:$W$2</definedName>
    <definedName name="_xlnm._FilterDatabase" localSheetId="0" hidden="1">'ICU-JAN'!$A$2:$W$2</definedName>
    <definedName name="_xlnm._FilterDatabase" localSheetId="2" hidden="1">'ICU-MARCH'!$A$2:$W$2</definedName>
    <definedName name="_xlnm.Print_Area" localSheetId="4">'Census per Disease E-4B1F1 FEB'!$A$1:$J$346</definedName>
    <definedName name="_xlnm.Print_Area" localSheetId="3">'Census per Disease E-4B1F1 JAN'!$A$1:$J$347</definedName>
    <definedName name="_xlnm.Print_Area" localSheetId="5">'Census per Disease E-4B1F1 MAR'!$A$1:$J$346</definedName>
    <definedName name="_xlnm.Print_Area" localSheetId="6">'Census Summary per Subspec B1F2'!$A$1:$G$103</definedName>
  </definedNames>
  <calcPr calcId="152511" concurrentCalc="0"/>
</workbook>
</file>

<file path=xl/calcChain.xml><?xml version="1.0" encoding="utf-8"?>
<calcChain xmlns="http://schemas.openxmlformats.org/spreadsheetml/2006/main">
  <c r="C4" i="31" l="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3" i="31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3" i="32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3" i="28"/>
  <c r="I1" i="32"/>
  <c r="I1" i="28"/>
  <c r="I1" i="31"/>
  <c r="C9" i="27"/>
  <c r="C9" i="26"/>
  <c r="C9" i="25" a="1"/>
  <c r="C9" i="25"/>
  <c r="E19" i="25"/>
  <c r="G19" i="25"/>
  <c r="E20" i="25"/>
  <c r="G20" i="25"/>
  <c r="E70" i="21"/>
  <c r="E69" i="21"/>
  <c r="E68" i="21"/>
  <c r="E67" i="21"/>
  <c r="E66" i="21"/>
  <c r="E65" i="21"/>
  <c r="E64" i="21"/>
  <c r="E63" i="21"/>
  <c r="E62" i="21"/>
  <c r="E61" i="21"/>
  <c r="E60" i="21"/>
  <c r="E59" i="21"/>
  <c r="C70" i="21"/>
  <c r="C69" i="21"/>
  <c r="C68" i="21"/>
  <c r="C67" i="21"/>
  <c r="C66" i="21"/>
  <c r="C65" i="21"/>
  <c r="C64" i="21"/>
  <c r="C63" i="21"/>
  <c r="C62" i="21"/>
  <c r="C61" i="21"/>
  <c r="C60" i="21"/>
  <c r="F60" i="21"/>
  <c r="C59" i="21"/>
  <c r="E45" i="21"/>
  <c r="E44" i="21"/>
  <c r="E43" i="21"/>
  <c r="E42" i="21"/>
  <c r="E41" i="21"/>
  <c r="E40" i="21"/>
  <c r="E39" i="21"/>
  <c r="C39" i="21"/>
  <c r="F39" i="21"/>
  <c r="E38" i="21"/>
  <c r="E37" i="21"/>
  <c r="E36" i="21"/>
  <c r="E35" i="21"/>
  <c r="E34" i="21"/>
  <c r="C45" i="21"/>
  <c r="C44" i="21"/>
  <c r="C43" i="21"/>
  <c r="F43" i="21"/>
  <c r="C42" i="21"/>
  <c r="C41" i="21"/>
  <c r="C40" i="21"/>
  <c r="C38" i="21"/>
  <c r="C37" i="21"/>
  <c r="C36" i="21"/>
  <c r="F36" i="21"/>
  <c r="C35" i="21"/>
  <c r="F35" i="21"/>
  <c r="C34" i="21"/>
  <c r="C24" i="21"/>
  <c r="C49" i="21"/>
  <c r="C74" i="21"/>
  <c r="F63" i="21"/>
  <c r="F44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19" i="21"/>
  <c r="C18" i="21"/>
  <c r="C17" i="21"/>
  <c r="C16" i="21"/>
  <c r="C15" i="21"/>
  <c r="C92" i="21"/>
  <c r="C14" i="21"/>
  <c r="C13" i="21"/>
  <c r="C12" i="21"/>
  <c r="C11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96" i="21"/>
  <c r="F64" i="21"/>
  <c r="C101" i="21"/>
  <c r="C97" i="21"/>
  <c r="F38" i="21"/>
  <c r="C88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E86" i="21"/>
  <c r="E91" i="21"/>
  <c r="E93" i="21"/>
  <c r="E96" i="21"/>
  <c r="F96" i="21"/>
  <c r="E90" i="21"/>
  <c r="E94" i="21"/>
  <c r="E89" i="21"/>
  <c r="F89" i="21"/>
  <c r="E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F87" i="21"/>
  <c r="F97" i="21"/>
  <c r="F88" i="21"/>
  <c r="F95" i="21"/>
  <c r="G177" i="26"/>
  <c r="F93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<sst xmlns="http://schemas.openxmlformats.org/spreadsheetml/2006/main" count="452" uniqueCount="70">
  <si>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</si>
  <si>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</si>
  <si>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</si>
  <si>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</si>
  <si>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</si>
  <si>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</si>
  <si>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</si>
  <si>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</si>
  <si>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</si>
  <si>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</si>
  <si>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</si>
  <si>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</si>
  <si>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</si>
  <si>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</si>
  <si>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</si>
  <si>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</si>
  <si>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</si>
  <si>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</si>
  <si>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</si>
  <si>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</si>
  <si>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</si>
  <si>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</si>
  <si>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</si>
  <si>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</si>
  <si>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</si>
  <si>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</si>
  <si>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</si>
  <si>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</si>
  <si>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</si>
  <si>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</si>
  <si>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</si>
  <si>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</si>
  <si>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</si>
  <si>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</si>
  <si>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</si>
  <si>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January 2012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</si>
  <si>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</si>
  <si>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</si>
  <si>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</si>
  <si>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</si>
  <si>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</si>
  <si>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</si>
  <si>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</si>
  <si>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</si>
  <si>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</si>
  <si>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March 2012</t>
  </si>
  <si>
    <t>February 2012</t>
  </si>
  <si>
    <t>Months/Year</t>
  </si>
  <si>
    <t>ICU Census</t>
  </si>
  <si>
    <t>EAST AVENUE MEDICAL CENTER</t>
  </si>
  <si>
    <t>Allergology and Immunology</t>
  </si>
  <si>
    <t>Pulmonology</t>
  </si>
  <si>
    <t>Infectious Disease</t>
  </si>
  <si>
    <t>DISPOSITON (Active/Discharged/Expired/DAMA/THOC)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</si>
  <si>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</si>
  <si>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</si>
  <si>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</si>
  <si>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</si>
  <si>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</si>
  <si>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</si>
  <si>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</si>
  <si>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SUBSPECIALTY</t>
  </si>
  <si>
    <t>TEAM MEMBERS</t>
  </si>
  <si>
    <t>SERVICE CONSULTANT</t>
  </si>
  <si>
    <t>MONTH</t>
  </si>
  <si>
    <t>TOTAL PATIENTS</t>
  </si>
  <si>
    <t>DATE DISCHARGED</t>
  </si>
  <si>
    <t>DATE ADMITTED</t>
  </si>
  <si>
    <t>cold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</si>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</sst>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8" fillId="0" borderId="0" xfId="0" applyFont="1"/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"/>
  <sheetViews>
    <sheetView tabSelected="1" workbookViewId="0">
      <selection activeCell="I3" sqref="I3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0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"/>
  <sheetViews>
    <sheetView workbookViewId="0">
      <selection activeCell="J6" sqref="J6"/>
    </sheetView>
  </sheetViews>
  <sheetFormatPr defaultRowHeight="12.75" x14ac:dyDescent="0.2"/>
  <cols>
    <col min="1" max="2" width="12.28515625" bestFit="1" customWidth="1"/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1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  <row r="21" spans="1:3" x14ac:dyDescent="0.2">
      <c r="C21">
        <f t="shared" si="0"/>
        <v>0</v>
      </c>
    </row>
  </sheetData>
  <autoFilter ref="A2:W2"/>
  <mergeCells count="3">
    <mergeCell ref="F1:G1"/>
    <mergeCell ref="L1:W1"/>
    <mergeCell ref="D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"/>
  <sheetViews>
    <sheetView workbookViewId="0">
      <selection activeCell="J8" sqref="J8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97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68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 s="103">
        <f>B3-A3</f>
        <v>0</v>
      </c>
    </row>
    <row r="4" spans="1:23" x14ac:dyDescent="0.2">
      <c r="A4" s="102"/>
      <c r="B4" s="102"/>
      <c r="C4" s="103">
        <f t="shared" ref="C4:C20" si="0">B4-A4</f>
        <v>0</v>
      </c>
    </row>
    <row r="5" spans="1:23" x14ac:dyDescent="0.2">
      <c r="A5" s="102"/>
      <c r="B5" s="102"/>
      <c r="C5" s="103">
        <f t="shared" si="0"/>
        <v>0</v>
      </c>
    </row>
    <row r="6" spans="1:23" x14ac:dyDescent="0.2">
      <c r="A6" s="102"/>
      <c r="B6" s="102"/>
      <c r="C6" s="103">
        <f t="shared" si="0"/>
        <v>0</v>
      </c>
    </row>
    <row r="7" spans="1:23" x14ac:dyDescent="0.2">
      <c r="A7" s="102"/>
      <c r="B7" s="102"/>
      <c r="C7" s="103">
        <f t="shared" si="0"/>
        <v>0</v>
      </c>
    </row>
    <row r="8" spans="1:23" x14ac:dyDescent="0.2">
      <c r="A8" s="102"/>
      <c r="B8" s="102"/>
      <c r="C8" s="103">
        <f t="shared" si="0"/>
        <v>0</v>
      </c>
    </row>
    <row r="9" spans="1:23" x14ac:dyDescent="0.2">
      <c r="A9" s="102"/>
      <c r="B9" s="102"/>
      <c r="C9" s="103">
        <f t="shared" si="0"/>
        <v>0</v>
      </c>
    </row>
    <row r="10" spans="1:23" x14ac:dyDescent="0.2">
      <c r="A10" s="102"/>
      <c r="B10" s="102"/>
      <c r="C10" s="103">
        <f t="shared" si="0"/>
        <v>0</v>
      </c>
    </row>
    <row r="11" spans="1:23" x14ac:dyDescent="0.2">
      <c r="A11" s="102"/>
      <c r="B11" s="102"/>
      <c r="C11" s="103">
        <f t="shared" si="0"/>
        <v>0</v>
      </c>
    </row>
    <row r="12" spans="1:23" x14ac:dyDescent="0.2">
      <c r="A12" s="102"/>
      <c r="B12" s="102"/>
      <c r="C12" s="103">
        <f t="shared" si="0"/>
        <v>0</v>
      </c>
    </row>
    <row r="13" spans="1:23" x14ac:dyDescent="0.2">
      <c r="A13" s="102"/>
      <c r="B13" s="102"/>
      <c r="C13" s="103">
        <f t="shared" si="0"/>
        <v>0</v>
      </c>
    </row>
    <row r="14" spans="1:23" x14ac:dyDescent="0.2">
      <c r="A14" s="102"/>
      <c r="B14" s="102"/>
      <c r="C14" s="103">
        <f t="shared" si="0"/>
        <v>0</v>
      </c>
    </row>
    <row r="15" spans="1:23" x14ac:dyDescent="0.2">
      <c r="A15" s="102"/>
      <c r="B15" s="102"/>
      <c r="C15" s="103">
        <f t="shared" si="0"/>
        <v>0</v>
      </c>
    </row>
    <row r="16" spans="1:23" x14ac:dyDescent="0.2">
      <c r="A16" s="102"/>
      <c r="B16" s="102"/>
      <c r="C16" s="103">
        <f t="shared" si="0"/>
        <v>0</v>
      </c>
    </row>
    <row r="17" spans="1:3" x14ac:dyDescent="0.2">
      <c r="A17" s="102"/>
      <c r="B17" s="102"/>
      <c r="C17" s="103">
        <f t="shared" si="0"/>
        <v>0</v>
      </c>
    </row>
    <row r="18" spans="1:3" x14ac:dyDescent="0.2">
      <c r="A18" s="102"/>
      <c r="B18" s="102"/>
      <c r="C18" s="103">
        <f t="shared" si="0"/>
        <v>0</v>
      </c>
    </row>
    <row r="19" spans="1:3" x14ac:dyDescent="0.2">
      <c r="A19" s="102"/>
      <c r="B19" s="102"/>
      <c r="C19" s="103">
        <f t="shared" si="0"/>
        <v>0</v>
      </c>
    </row>
    <row r="20" spans="1:3" x14ac:dyDescent="0.2">
      <c r="A20" s="102"/>
      <c r="B20" s="102"/>
      <c r="C20" s="103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topLeftCell="A106" zoomScaleNormal="100" workbookViewId="0">
      <selection activeCell="D69" sqref="D6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8" t="s">
        <v>35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 t="array" ref="C9">COUNTA('ICU-JAN'!E3:E1048576)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32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32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32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32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32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32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32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32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32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32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32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E-4B1F1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C9" sqref="C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46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COUNTA('ICU-FEB'!E3:E1048576)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89" fitToHeight="0" orientation="portrait" horizontalDpi="4294967293" r:id="rId1"/>
  <headerFooter alignWithMargins="0">
    <oddHeader xml:space="preserve">&amp;RPCPAccFrm E-4B1F1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45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COUNTA('ICU-MARCH'!E3:E1048576)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E-4B1F1 JAN'!C4</f>
        <v>ICU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3" t="str">
        <f>'Census per Disease E-4B1F1 JAN'!C2:G2</f>
        <v>EAST AVENUE MEDICAL CENTER</v>
      </c>
      <c r="D4" s="113"/>
      <c r="E4" s="113"/>
      <c r="F4" s="113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E-4B1F1 JAN'!C7</f>
        <v>January 2012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E-4B1F1 JAN'!$D$12:$D$37)</f>
        <v>0</v>
      </c>
      <c r="D9" s="71" t="e">
        <f t="shared" ref="D9:D20" si="0">+C9/$C$23</f>
        <v>#DIV/0!</v>
      </c>
      <c r="E9" s="70">
        <f>SUM('Census per Disease E-4B1F1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E-4B1F1 JAN'!$D$41:$D$65)</f>
        <v>0</v>
      </c>
      <c r="D10" s="71" t="e">
        <f t="shared" si="0"/>
        <v>#DIV/0!</v>
      </c>
      <c r="E10" s="70">
        <f>SUM('Census per Disease E-4B1F1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E-4B1F1 JAN'!$D$69:$D$93)</f>
        <v>0</v>
      </c>
      <c r="D11" s="71" t="e">
        <f t="shared" si="0"/>
        <v>#DIV/0!</v>
      </c>
      <c r="E11" s="70">
        <f>SUM('Census per Disease E-4B1F1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E-4B1F1 JAN'!$D$97:$D$121)</f>
        <v>0</v>
      </c>
      <c r="D12" s="71" t="e">
        <f t="shared" si="0"/>
        <v>#DIV/0!</v>
      </c>
      <c r="E12" s="70">
        <f>SUM('Census per Disease E-4B1F1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E-4B1F1 JAN'!$D$125:$D$149)</f>
        <v>0</v>
      </c>
      <c r="D13" s="71" t="e">
        <f t="shared" si="0"/>
        <v>#DIV/0!</v>
      </c>
      <c r="E13" s="70">
        <f>SUM('Census per Disease E-4B1F1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E-4B1F1 JAN'!$D$153:$D$177)</f>
        <v>0</v>
      </c>
      <c r="D14" s="71" t="e">
        <f t="shared" si="0"/>
        <v>#DIV/0!</v>
      </c>
      <c r="E14" s="70">
        <f>SUM('Census per Disease E-4B1F1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E-4B1F1 JAN'!$D$181:$D$205)</f>
        <v>0</v>
      </c>
      <c r="D15" s="71" t="e">
        <f t="shared" si="0"/>
        <v>#DIV/0!</v>
      </c>
      <c r="E15" s="70">
        <f>SUM('Census per Disease E-4B1F1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E-4B1F1 JAN'!$D$209:$D$233)</f>
        <v>0</v>
      </c>
      <c r="D16" s="71" t="e">
        <f t="shared" si="0"/>
        <v>#DIV/0!</v>
      </c>
      <c r="E16" s="70">
        <f>SUM('Census per Disease E-4B1F1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E-4B1F1 JAN'!$D$237:$D$261)</f>
        <v>0</v>
      </c>
      <c r="D17" s="71" t="e">
        <f t="shared" si="0"/>
        <v>#DIV/0!</v>
      </c>
      <c r="E17" s="70">
        <f>SUM('Census per Disease E-4B1F1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E-4B1F1 JAN'!$D$265:$D$289)</f>
        <v>0</v>
      </c>
      <c r="D18" s="71" t="e">
        <f t="shared" si="0"/>
        <v>#DIV/0!</v>
      </c>
      <c r="E18" s="70">
        <f>SUM('Census per Disease E-4B1F1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E-4B1F1 JAN'!$D$293:$D$317)</f>
        <v>0</v>
      </c>
      <c r="D19" s="71" t="e">
        <f t="shared" si="0"/>
        <v>#DIV/0!</v>
      </c>
      <c r="E19" s="70">
        <f>SUM('Census per Disease E-4B1F1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E-4B1F1 JAN'!$D$321:$D$345)</f>
        <v>0</v>
      </c>
      <c r="D20" s="71" t="e">
        <f t="shared" si="0"/>
        <v>#DIV/0!</v>
      </c>
      <c r="E20" s="70">
        <f>SUM('Census per Disease E-4B1F1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E-4B1F1 JAN'!C9:D9</f>
        <v>0</v>
      </c>
      <c r="D24" s="111" t="s">
        <v>27</v>
      </c>
      <c r="E24" s="112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E-4B1F1 FEB'!C4</f>
        <v>ICU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3" t="str">
        <f>'Census per Disease E-4B1F1 FEB'!C2:H2</f>
        <v>EAST AVENUE MEDICAL CENTER</v>
      </c>
      <c r="D29" s="113"/>
      <c r="E29" s="113"/>
      <c r="F29" s="113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 t="str">
        <f>'Census per Disease E-4B1F1 FEB'!C7</f>
        <v>February 2012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E-4B1F1 FEB'!$D$12:$D$36)</f>
        <v>0</v>
      </c>
      <c r="D34" s="71" t="e">
        <f t="shared" ref="D34:D45" si="2">+C34/$C$23</f>
        <v>#DIV/0!</v>
      </c>
      <c r="E34" s="70">
        <f>SUM('Census per Disease E-4B1F1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E-4B1F1 FEB'!$D$40:$D$64)</f>
        <v>0</v>
      </c>
      <c r="D35" s="71" t="e">
        <f t="shared" si="2"/>
        <v>#DIV/0!</v>
      </c>
      <c r="E35" s="70">
        <f>SUM('Census per Disease E-4B1F1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E-4B1F1 FEB'!$D$68:$D$92)</f>
        <v>0</v>
      </c>
      <c r="D36" s="71" t="e">
        <f t="shared" si="2"/>
        <v>#DIV/0!</v>
      </c>
      <c r="E36" s="70">
        <f>SUM('Census per Disease E-4B1F1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E-4B1F1 FEB'!$D$96:$D$120)</f>
        <v>0</v>
      </c>
      <c r="D37" s="71" t="e">
        <f t="shared" si="2"/>
        <v>#DIV/0!</v>
      </c>
      <c r="E37" s="70">
        <f>SUM('Census per Disease E-4B1F1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E-4B1F1 FEB'!$D$124:$D$148)</f>
        <v>0</v>
      </c>
      <c r="D38" s="71" t="e">
        <f t="shared" si="2"/>
        <v>#DIV/0!</v>
      </c>
      <c r="E38" s="70">
        <f>SUM('Census per Disease E-4B1F1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E-4B1F1 FEB'!$D$152:$D$176)</f>
        <v>0</v>
      </c>
      <c r="D39" s="71" t="e">
        <f t="shared" si="2"/>
        <v>#DIV/0!</v>
      </c>
      <c r="E39" s="70">
        <f>SUM('Census per Disease E-4B1F1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E-4B1F1 FEB'!$D$180:$D$204)</f>
        <v>0</v>
      </c>
      <c r="D40" s="71" t="e">
        <f t="shared" si="2"/>
        <v>#DIV/0!</v>
      </c>
      <c r="E40" s="70">
        <f>SUM('Census per Disease E-4B1F1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E-4B1F1 FEB'!$D$208:$D$232)</f>
        <v>0</v>
      </c>
      <c r="D41" s="71" t="e">
        <f t="shared" si="2"/>
        <v>#DIV/0!</v>
      </c>
      <c r="E41" s="70">
        <f>SUM('Census per Disease E-4B1F1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E-4B1F1 FEB'!$D$236:$D$260)</f>
        <v>0</v>
      </c>
      <c r="D42" s="71" t="e">
        <f t="shared" si="2"/>
        <v>#DIV/0!</v>
      </c>
      <c r="E42" s="70">
        <f>SUM('Census per Disease E-4B1F1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E-4B1F1 FEB'!$D$264:$D$288)</f>
        <v>0</v>
      </c>
      <c r="D43" s="71" t="e">
        <f t="shared" si="2"/>
        <v>#DIV/0!</v>
      </c>
      <c r="E43" s="70">
        <f>SUM('Census per Disease E-4B1F1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E-4B1F1 FEB'!$D$292:$D$316)</f>
        <v>0</v>
      </c>
      <c r="D44" s="71" t="e">
        <f t="shared" si="2"/>
        <v>#DIV/0!</v>
      </c>
      <c r="E44" s="70">
        <f>SUM('Census per Disease E-4B1F1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E-4B1F1 FEB'!$D$320:$D$344)</f>
        <v>0</v>
      </c>
      <c r="D45" s="71" t="e">
        <f t="shared" si="2"/>
        <v>#DIV/0!</v>
      </c>
      <c r="E45" s="70">
        <f>SUM('Census per Disease E-4B1F1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E-4B1F1 FEB'!C9:D9</f>
        <v>0</v>
      </c>
      <c r="D49" s="111" t="s">
        <v>27</v>
      </c>
      <c r="E49" s="112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E-4B1F1 MAR'!C4</f>
        <v>ICU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3" t="str">
        <f>'Census per Disease E-4B1F1 MAR'!C2:H2</f>
        <v>EAST AVENUE MEDICAL CENTER</v>
      </c>
      <c r="D54" s="113"/>
      <c r="E54" s="113"/>
      <c r="F54" s="113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 t="str">
        <f>'Census per Disease E-4B1F1 MAR'!C7</f>
        <v>March 2012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E-4B1F1 MAR'!$D$12:$D$36)</f>
        <v>0</v>
      </c>
      <c r="D59" s="71" t="e">
        <f t="shared" ref="D59:D70" si="4">+C59/$C$23</f>
        <v>#DIV/0!</v>
      </c>
      <c r="E59" s="70">
        <f>SUM('Census per Disease E-4B1F1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E-4B1F1 MAR'!$D$40:$D$64)</f>
        <v>0</v>
      </c>
      <c r="D60" s="71" t="e">
        <f t="shared" si="4"/>
        <v>#DIV/0!</v>
      </c>
      <c r="E60" s="70">
        <f>SUM('Census per Disease E-4B1F1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E-4B1F1 MAR'!$D$68:$D$92)</f>
        <v>0</v>
      </c>
      <c r="D61" s="71" t="e">
        <f t="shared" si="4"/>
        <v>#DIV/0!</v>
      </c>
      <c r="E61" s="70">
        <f>SUM('Census per Disease E-4B1F1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E-4B1F1 MAR'!$D$96:$D$120)</f>
        <v>0</v>
      </c>
      <c r="D62" s="71" t="e">
        <f t="shared" si="4"/>
        <v>#DIV/0!</v>
      </c>
      <c r="E62" s="70">
        <f>SUM('Census per Disease E-4B1F1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E-4B1F1 MAR'!$D$124:$D$148)</f>
        <v>0</v>
      </c>
      <c r="D63" s="71" t="e">
        <f t="shared" si="4"/>
        <v>#DIV/0!</v>
      </c>
      <c r="E63" s="70">
        <f>SUM('Census per Disease E-4B1F1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E-4B1F1 MAR'!$D$152:$D$176)</f>
        <v>0</v>
      </c>
      <c r="D64" s="71" t="e">
        <f t="shared" si="4"/>
        <v>#DIV/0!</v>
      </c>
      <c r="E64" s="70">
        <f>SUM('Census per Disease E-4B1F1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E-4B1F1 MAR'!$D$180:$D$204)</f>
        <v>0</v>
      </c>
      <c r="D65" s="71" t="e">
        <f t="shared" si="4"/>
        <v>#DIV/0!</v>
      </c>
      <c r="E65" s="70">
        <f>SUM('Census per Disease E-4B1F1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E-4B1F1 MAR'!$D$208:$D$232)</f>
        <v>0</v>
      </c>
      <c r="D66" s="71" t="e">
        <f t="shared" si="4"/>
        <v>#DIV/0!</v>
      </c>
      <c r="E66" s="70">
        <f>SUM('Census per Disease E-4B1F1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E-4B1F1 MAR'!$D$236:$D$260)</f>
        <v>0</v>
      </c>
      <c r="D67" s="71" t="e">
        <f t="shared" si="4"/>
        <v>#DIV/0!</v>
      </c>
      <c r="E67" s="70">
        <f>SUM('Census per Disease E-4B1F1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E-4B1F1 MAR'!$D$264:$D$288)</f>
        <v>0</v>
      </c>
      <c r="D68" s="71" t="e">
        <f t="shared" si="4"/>
        <v>#DIV/0!</v>
      </c>
      <c r="E68" s="70">
        <f>SUM('Census per Disease E-4B1F1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E-4B1F1 MAR'!$D$292:$D$316)</f>
        <v>0</v>
      </c>
      <c r="D69" s="71" t="e">
        <f t="shared" si="4"/>
        <v>#DIV/0!</v>
      </c>
      <c r="E69" s="70">
        <f>SUM('Census per Disease E-4B1F1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E-4B1F1 MAR'!$D$320:$D$344)</f>
        <v>0</v>
      </c>
      <c r="D70" s="71" t="e">
        <f t="shared" si="4"/>
        <v>#DIV/0!</v>
      </c>
      <c r="E70" s="70">
        <f>SUM('Census per Disease E-4B1F1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E-4B1F1 MAR'!C9:D9</f>
        <v>0</v>
      </c>
      <c r="D74" s="111" t="s">
        <v>27</v>
      </c>
      <c r="E74" s="112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ICU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3" t="str">
        <f>C54</f>
        <v>EAST AVENUE MEDICAL CENTER</v>
      </c>
      <c r="D79" s="113"/>
      <c r="E79" s="113"/>
      <c r="F79" s="113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47</v>
      </c>
      <c r="C81" s="114" t="s">
        <v>11</v>
      </c>
      <c r="D81" s="117" t="s">
        <v>31</v>
      </c>
      <c r="E81" s="120" t="s">
        <v>23</v>
      </c>
      <c r="F81" s="123" t="s">
        <v>12</v>
      </c>
    </row>
    <row r="82" spans="2:6" ht="15.75" x14ac:dyDescent="0.25">
      <c r="B82" s="86" t="str">
        <f>B7</f>
        <v>January 2012</v>
      </c>
      <c r="C82" s="115"/>
      <c r="D82" s="118"/>
      <c r="E82" s="121"/>
      <c r="F82" s="124"/>
    </row>
    <row r="83" spans="2:6" ht="15.6" customHeight="1" x14ac:dyDescent="0.25">
      <c r="B83" s="87" t="str">
        <f>B32</f>
        <v>February 2012</v>
      </c>
      <c r="C83" s="115"/>
      <c r="D83" s="118"/>
      <c r="E83" s="121"/>
      <c r="F83" s="124"/>
    </row>
    <row r="84" spans="2:6" ht="15.6" customHeight="1" thickBot="1" x14ac:dyDescent="0.25">
      <c r="B84" s="52" t="str">
        <f>B57</f>
        <v>March 2012</v>
      </c>
      <c r="C84" s="116"/>
      <c r="D84" s="119"/>
      <c r="E84" s="122"/>
      <c r="F84" s="125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1" t="s">
        <v>27</v>
      </c>
      <c r="E101" s="112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E-4B1F2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ICU-JAN</vt:lpstr>
      <vt:lpstr>ICU-FEB</vt:lpstr>
      <vt:lpstr>ICU-MARCH</vt:lpstr>
      <vt:lpstr>Census per Disease E-4B1F1 JAN</vt:lpstr>
      <vt:lpstr>Census per Disease E-4B1F1 FEB</vt:lpstr>
      <vt:lpstr>Census per Disease E-4B1F1 MAR</vt:lpstr>
      <vt:lpstr>Census Summary per Subspec B1F2</vt:lpstr>
      <vt:lpstr>'Census per Disease E-4B1F1 FEB'!Print_Area</vt:lpstr>
      <vt:lpstr>'Census per Disease E-4B1F1 JAN'!Print_Area</vt:lpstr>
      <vt:lpstr>'Census per Disease E-4B1F1 MAR'!Print_Area</vt:lpstr>
      <vt:lpstr>'Census Summary per Subspec B1F2'!Print_Area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2013-09-11T09:40:00Z</cp:lastPrinted>
  <dcterms:created xsi:type="dcterms:W3CDTF">2001-02-07T07:00:06Z</dcterms:created>
  <dcterms:modified xsi:type="dcterms:W3CDTF">2017-05-25T17:44:45Z</dcterms:modified>
</cp:coreProperties>
</file>