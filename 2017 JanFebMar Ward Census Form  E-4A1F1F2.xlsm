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Go\Desktop\CS-197-ACR-ICD-master\"/>
    </mc:Choice>
  </mc:AlternateContent>
  <bookViews>
    <workbookView xWindow="0" yWindow="0" windowWidth="20490" windowHeight="8820" activeTab="1"/>
  </bookViews>
  <sheets>
    <sheet name="WARD-JAN" sheetId="31" r:id="rId1"/>
    <sheet name="WARD-FEB" sheetId="28" r:id="rId2"/>
    <sheet name="WARD-MARCH" sheetId="30" r:id="rId3"/>
    <sheet name="PROCEDURES" sheetId="29" r:id="rId4"/>
    <sheet name="Census per Disease E-4A1F1 JAN" sheetId="25" r:id="rId5"/>
    <sheet name="Census per Disease E-4A1F1 FEB" sheetId="26" r:id="rId6"/>
    <sheet name="Census per Disease E-4A1F1 MAR" sheetId="27" r:id="rId7"/>
    <sheet name="Census Summary per Subspec A1F2" sheetId="21" r:id="rId8"/>
  </sheets>
  <definedNames>
    <definedName name="_xlnm._FilterDatabase" localSheetId="3" hidden="1">PROCEDURES!$A$2:$U$2</definedName>
    <definedName name="_xlnm._FilterDatabase" localSheetId="1" hidden="1">'WARD-FEB'!$A$2:$W$2</definedName>
    <definedName name="_xlnm._FilterDatabase" localSheetId="0" hidden="1">'WARD-JAN'!$A$2:$W$2</definedName>
    <definedName name="_xlnm._FilterDatabase" localSheetId="2" hidden="1">'WARD-MARCH'!$A$2:$W$2</definedName>
    <definedName name="_xlnm.Print_Area" localSheetId="5">'Census per Disease E-4A1F1 FEB'!$A$1:$J$346</definedName>
    <definedName name="_xlnm.Print_Area" localSheetId="4">'Census per Disease E-4A1F1 JAN'!$A$1:$J$347</definedName>
    <definedName name="_xlnm.Print_Area" localSheetId="6">'Census per Disease E-4A1F1 MAR'!$A$1:$J$346</definedName>
    <definedName name="_xlnm.Print_Area" localSheetId="7">'Census Summary per Subspec A1F2'!$A$1:$G$103</definedName>
  </definedNames>
  <calcPr calcId="171027" concurrentCalc="0"/>
</workbook>
</file>

<file path=xl/calcChain.xml><?xml version="1.0" encoding="utf-8"?>
<calcChain xmlns="http://schemas.openxmlformats.org/spreadsheetml/2006/main">
  <c r="C4" i="28" l="1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3" i="28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3" i="30"/>
  <c r="C9" i="27"/>
  <c r="C9" i="26"/>
  <c r="C9" i="25"/>
  <c r="I1" i="31"/>
  <c r="I1" i="30"/>
  <c r="I1" i="28"/>
  <c r="E19" i="25"/>
  <c r="G19" i="25"/>
  <c r="E20" i="25"/>
  <c r="G20" i="25"/>
  <c r="E70" i="21"/>
  <c r="E69" i="21"/>
  <c r="E68" i="21"/>
  <c r="E67" i="21"/>
  <c r="E66" i="21"/>
  <c r="E65" i="21"/>
  <c r="E64" i="21"/>
  <c r="C64" i="21"/>
  <c r="F64" i="21"/>
  <c r="E63" i="21"/>
  <c r="C63" i="21"/>
  <c r="F63" i="21"/>
  <c r="E62" i="21"/>
  <c r="E61" i="21"/>
  <c r="E60" i="21"/>
  <c r="E59" i="21"/>
  <c r="C70" i="21"/>
  <c r="C69" i="21"/>
  <c r="C68" i="21"/>
  <c r="C67" i="21"/>
  <c r="C66" i="21"/>
  <c r="C65" i="21"/>
  <c r="C62" i="21"/>
  <c r="C61" i="21"/>
  <c r="C60" i="21"/>
  <c r="F60" i="21"/>
  <c r="C59" i="21"/>
  <c r="E45" i="21"/>
  <c r="E44" i="21"/>
  <c r="E43" i="21"/>
  <c r="C43" i="21"/>
  <c r="F43" i="21"/>
  <c r="E42" i="21"/>
  <c r="E41" i="21"/>
  <c r="E40" i="21"/>
  <c r="E39" i="21"/>
  <c r="C39" i="21"/>
  <c r="F39" i="21"/>
  <c r="E38" i="21"/>
  <c r="C38" i="21"/>
  <c r="F38" i="21"/>
  <c r="E37" i="21"/>
  <c r="E36" i="21"/>
  <c r="E35" i="21"/>
  <c r="E34" i="21"/>
  <c r="C45" i="21"/>
  <c r="C44" i="21"/>
  <c r="F44" i="21"/>
  <c r="C42" i="21"/>
  <c r="C41" i="21"/>
  <c r="C40" i="21"/>
  <c r="C37" i="21"/>
  <c r="C36" i="21"/>
  <c r="C35" i="21"/>
  <c r="F35" i="21"/>
  <c r="C34" i="21"/>
  <c r="C24" i="21"/>
  <c r="C49" i="21"/>
  <c r="C74" i="21"/>
  <c r="F36" i="21"/>
  <c r="E20" i="21"/>
  <c r="E19" i="21"/>
  <c r="E18" i="21"/>
  <c r="E17" i="21"/>
  <c r="E16" i="21"/>
  <c r="E15" i="21"/>
  <c r="E92" i="21"/>
  <c r="E14" i="21"/>
  <c r="E13" i="21"/>
  <c r="E12" i="21"/>
  <c r="E11" i="21"/>
  <c r="E10" i="21"/>
  <c r="E9" i="21"/>
  <c r="C20" i="21"/>
  <c r="C97" i="21"/>
  <c r="C19" i="21"/>
  <c r="C96" i="21"/>
  <c r="C18" i="21"/>
  <c r="C17" i="21"/>
  <c r="C16" i="21"/>
  <c r="C15" i="21"/>
  <c r="C92" i="21"/>
  <c r="C14" i="21"/>
  <c r="C13" i="21"/>
  <c r="C12" i="21"/>
  <c r="C11" i="21"/>
  <c r="C88" i="21"/>
  <c r="C10" i="21"/>
  <c r="C9" i="21"/>
  <c r="E63" i="27"/>
  <c r="G63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13" i="25"/>
  <c r="A14" i="25"/>
  <c r="A15" i="25"/>
  <c r="A16" i="25"/>
  <c r="A17" i="25"/>
  <c r="A18" i="25"/>
  <c r="D27" i="21"/>
  <c r="B32" i="21"/>
  <c r="B83" i="21"/>
  <c r="B57" i="21"/>
  <c r="B84" i="21"/>
  <c r="D52" i="21"/>
  <c r="D77" i="21"/>
  <c r="C29" i="21"/>
  <c r="C54" i="21"/>
  <c r="C79" i="21"/>
  <c r="C101" i="21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F34" i="21"/>
  <c r="F59" i="21"/>
  <c r="F40" i="21"/>
  <c r="F61" i="21"/>
  <c r="F66" i="21"/>
  <c r="C94" i="21"/>
  <c r="C93" i="21"/>
  <c r="C95" i="21"/>
  <c r="C86" i="21"/>
  <c r="E88" i="21"/>
  <c r="F88" i="21"/>
  <c r="F70" i="21"/>
  <c r="F69" i="21"/>
  <c r="F67" i="21"/>
  <c r="F65" i="21"/>
  <c r="C89" i="21"/>
  <c r="F62" i="21"/>
  <c r="E95" i="21"/>
  <c r="F45" i="21"/>
  <c r="F42" i="21"/>
  <c r="F41" i="21"/>
  <c r="C90" i="21"/>
  <c r="F37" i="21"/>
  <c r="F68" i="21"/>
  <c r="C91" i="21"/>
  <c r="C87" i="21"/>
  <c r="E97" i="21"/>
  <c r="F97" i="21"/>
  <c r="E86" i="21"/>
  <c r="E91" i="21"/>
  <c r="E93" i="21"/>
  <c r="E96" i="21"/>
  <c r="F96" i="21"/>
  <c r="E90" i="21"/>
  <c r="E94" i="21"/>
  <c r="E89" i="21"/>
  <c r="E87" i="21"/>
  <c r="F87" i="21"/>
  <c r="F92" i="21"/>
  <c r="F345" i="27"/>
  <c r="D345" i="27"/>
  <c r="G344" i="27"/>
  <c r="E344" i="27"/>
  <c r="G343" i="27"/>
  <c r="E343" i="27"/>
  <c r="G342" i="27"/>
  <c r="E342" i="27"/>
  <c r="G341" i="27"/>
  <c r="E341" i="27"/>
  <c r="G340" i="27"/>
  <c r="E340" i="27"/>
  <c r="G339" i="27"/>
  <c r="E339" i="27"/>
  <c r="G338" i="27"/>
  <c r="E338" i="27"/>
  <c r="G337" i="27"/>
  <c r="E337" i="27"/>
  <c r="G336" i="27"/>
  <c r="E336" i="27"/>
  <c r="G335" i="27"/>
  <c r="E335" i="27"/>
  <c r="G334" i="27"/>
  <c r="E334" i="27"/>
  <c r="G333" i="27"/>
  <c r="E333" i="27"/>
  <c r="G332" i="27"/>
  <c r="E332" i="27"/>
  <c r="G331" i="27"/>
  <c r="E331" i="27"/>
  <c r="G330" i="27"/>
  <c r="E330" i="27"/>
  <c r="G329" i="27"/>
  <c r="E329" i="27"/>
  <c r="G328" i="27"/>
  <c r="E328" i="27"/>
  <c r="G327" i="27"/>
  <c r="E327" i="27"/>
  <c r="G326" i="27"/>
  <c r="E326" i="27"/>
  <c r="G325" i="27"/>
  <c r="E325" i="27"/>
  <c r="G324" i="27"/>
  <c r="E324" i="27"/>
  <c r="G323" i="27"/>
  <c r="E323" i="27"/>
  <c r="G322" i="27"/>
  <c r="E322" i="27"/>
  <c r="G321" i="27"/>
  <c r="E321" i="27"/>
  <c r="G320" i="27"/>
  <c r="E320" i="27"/>
  <c r="F317" i="27"/>
  <c r="D317" i="27"/>
  <c r="G316" i="27"/>
  <c r="E316" i="27"/>
  <c r="G315" i="27"/>
  <c r="E315" i="27"/>
  <c r="G314" i="27"/>
  <c r="E314" i="27"/>
  <c r="G313" i="27"/>
  <c r="E313" i="27"/>
  <c r="G312" i="27"/>
  <c r="E312" i="27"/>
  <c r="G311" i="27"/>
  <c r="E311" i="27"/>
  <c r="G310" i="27"/>
  <c r="E310" i="27"/>
  <c r="G309" i="27"/>
  <c r="E309" i="27"/>
  <c r="G308" i="27"/>
  <c r="E308" i="27"/>
  <c r="G307" i="27"/>
  <c r="E307" i="27"/>
  <c r="G306" i="27"/>
  <c r="E306" i="27"/>
  <c r="G305" i="27"/>
  <c r="E305" i="27"/>
  <c r="G304" i="27"/>
  <c r="E304" i="27"/>
  <c r="G303" i="27"/>
  <c r="E303" i="27"/>
  <c r="G302" i="27"/>
  <c r="E302" i="27"/>
  <c r="G301" i="27"/>
  <c r="E301" i="27"/>
  <c r="G300" i="27"/>
  <c r="E300" i="27"/>
  <c r="G299" i="27"/>
  <c r="E299" i="27"/>
  <c r="G298" i="27"/>
  <c r="E298" i="27"/>
  <c r="G297" i="27"/>
  <c r="E297" i="27"/>
  <c r="G296" i="27"/>
  <c r="E296" i="27"/>
  <c r="G295" i="27"/>
  <c r="E295" i="27"/>
  <c r="G294" i="27"/>
  <c r="E294" i="27"/>
  <c r="G293" i="27"/>
  <c r="E293" i="27"/>
  <c r="G292" i="27"/>
  <c r="E292" i="27"/>
  <c r="F289" i="27"/>
  <c r="D289" i="27"/>
  <c r="G288" i="27"/>
  <c r="E288" i="27"/>
  <c r="G287" i="27"/>
  <c r="E287" i="27"/>
  <c r="G286" i="27"/>
  <c r="E286" i="27"/>
  <c r="G285" i="27"/>
  <c r="E285" i="27"/>
  <c r="G284" i="27"/>
  <c r="E284" i="27"/>
  <c r="G283" i="27"/>
  <c r="E283" i="27"/>
  <c r="G282" i="27"/>
  <c r="E282" i="27"/>
  <c r="G281" i="27"/>
  <c r="E281" i="27"/>
  <c r="G280" i="27"/>
  <c r="E280" i="27"/>
  <c r="G279" i="27"/>
  <c r="E279" i="27"/>
  <c r="G278" i="27"/>
  <c r="E278" i="27"/>
  <c r="G277" i="27"/>
  <c r="E277" i="27"/>
  <c r="G276" i="27"/>
  <c r="E276" i="27"/>
  <c r="G275" i="27"/>
  <c r="E275" i="27"/>
  <c r="G274" i="27"/>
  <c r="E274" i="27"/>
  <c r="G273" i="27"/>
  <c r="E273" i="27"/>
  <c r="G272" i="27"/>
  <c r="E272" i="27"/>
  <c r="G271" i="27"/>
  <c r="E271" i="27"/>
  <c r="G270" i="27"/>
  <c r="E270" i="27"/>
  <c r="G269" i="27"/>
  <c r="E269" i="27"/>
  <c r="G268" i="27"/>
  <c r="E268" i="27"/>
  <c r="G267" i="27"/>
  <c r="E267" i="27"/>
  <c r="G266" i="27"/>
  <c r="E266" i="27"/>
  <c r="G265" i="27"/>
  <c r="E265" i="27"/>
  <c r="G264" i="27"/>
  <c r="E264" i="27"/>
  <c r="F261" i="27"/>
  <c r="D261" i="27"/>
  <c r="G260" i="27"/>
  <c r="E260" i="27"/>
  <c r="G259" i="27"/>
  <c r="E259" i="27"/>
  <c r="G258" i="27"/>
  <c r="E258" i="27"/>
  <c r="G257" i="27"/>
  <c r="E257" i="27"/>
  <c r="G256" i="27"/>
  <c r="E256" i="27"/>
  <c r="G255" i="27"/>
  <c r="E255" i="27"/>
  <c r="G254" i="27"/>
  <c r="E254" i="27"/>
  <c r="G253" i="27"/>
  <c r="E253" i="27"/>
  <c r="G252" i="27"/>
  <c r="E252" i="27"/>
  <c r="G251" i="27"/>
  <c r="E251" i="27"/>
  <c r="G250" i="27"/>
  <c r="E250" i="27"/>
  <c r="G249" i="27"/>
  <c r="E249" i="27"/>
  <c r="G248" i="27"/>
  <c r="E248" i="27"/>
  <c r="G247" i="27"/>
  <c r="E247" i="27"/>
  <c r="G246" i="27"/>
  <c r="E246" i="27"/>
  <c r="G245" i="27"/>
  <c r="E245" i="27"/>
  <c r="G244" i="27"/>
  <c r="E244" i="27"/>
  <c r="G243" i="27"/>
  <c r="E243" i="27"/>
  <c r="G242" i="27"/>
  <c r="E242" i="27"/>
  <c r="G241" i="27"/>
  <c r="E241" i="27"/>
  <c r="G240" i="27"/>
  <c r="E240" i="27"/>
  <c r="G239" i="27"/>
  <c r="E239" i="27"/>
  <c r="G238" i="27"/>
  <c r="E238" i="27"/>
  <c r="G237" i="27"/>
  <c r="E237" i="27"/>
  <c r="G236" i="27"/>
  <c r="E236" i="27"/>
  <c r="F233" i="27"/>
  <c r="D233" i="27"/>
  <c r="G232" i="27"/>
  <c r="E232" i="27"/>
  <c r="G231" i="27"/>
  <c r="E231" i="27"/>
  <c r="G230" i="27"/>
  <c r="E230" i="27"/>
  <c r="G229" i="27"/>
  <c r="E229" i="27"/>
  <c r="G228" i="27"/>
  <c r="E228" i="27"/>
  <c r="G227" i="27"/>
  <c r="E227" i="27"/>
  <c r="G226" i="27"/>
  <c r="E226" i="27"/>
  <c r="G225" i="27"/>
  <c r="E225" i="27"/>
  <c r="G224" i="27"/>
  <c r="E224" i="27"/>
  <c r="G223" i="27"/>
  <c r="E223" i="27"/>
  <c r="G222" i="27"/>
  <c r="E222" i="27"/>
  <c r="G221" i="27"/>
  <c r="E221" i="27"/>
  <c r="G220" i="27"/>
  <c r="E220" i="27"/>
  <c r="G219" i="27"/>
  <c r="E219" i="27"/>
  <c r="G218" i="27"/>
  <c r="E218" i="27"/>
  <c r="G217" i="27"/>
  <c r="E217" i="27"/>
  <c r="G216" i="27"/>
  <c r="E216" i="27"/>
  <c r="G215" i="27"/>
  <c r="E215" i="27"/>
  <c r="G214" i="27"/>
  <c r="E214" i="27"/>
  <c r="G213" i="27"/>
  <c r="E213" i="27"/>
  <c r="G212" i="27"/>
  <c r="E212" i="27"/>
  <c r="G211" i="27"/>
  <c r="E211" i="27"/>
  <c r="G210" i="27"/>
  <c r="E210" i="27"/>
  <c r="G209" i="27"/>
  <c r="E209" i="27"/>
  <c r="G208" i="27"/>
  <c r="E208" i="27"/>
  <c r="F205" i="27"/>
  <c r="D205" i="27"/>
  <c r="G204" i="27"/>
  <c r="E204" i="27"/>
  <c r="G203" i="27"/>
  <c r="E203" i="27"/>
  <c r="G202" i="27"/>
  <c r="E202" i="27"/>
  <c r="G201" i="27"/>
  <c r="E201" i="27"/>
  <c r="G200" i="27"/>
  <c r="E200" i="27"/>
  <c r="G199" i="27"/>
  <c r="E199" i="27"/>
  <c r="G198" i="27"/>
  <c r="E198" i="27"/>
  <c r="G197" i="27"/>
  <c r="E197" i="27"/>
  <c r="G196" i="27"/>
  <c r="E196" i="27"/>
  <c r="G195" i="27"/>
  <c r="E195" i="27"/>
  <c r="G194" i="27"/>
  <c r="E194" i="27"/>
  <c r="G193" i="27"/>
  <c r="E193" i="27"/>
  <c r="G192" i="27"/>
  <c r="E192" i="27"/>
  <c r="G191" i="27"/>
  <c r="E191" i="27"/>
  <c r="G190" i="27"/>
  <c r="E190" i="27"/>
  <c r="G189" i="27"/>
  <c r="E189" i="27"/>
  <c r="G188" i="27"/>
  <c r="E188" i="27"/>
  <c r="G187" i="27"/>
  <c r="E187" i="27"/>
  <c r="G186" i="27"/>
  <c r="E186" i="27"/>
  <c r="G185" i="27"/>
  <c r="E185" i="27"/>
  <c r="G184" i="27"/>
  <c r="E184" i="27"/>
  <c r="G183" i="27"/>
  <c r="E183" i="27"/>
  <c r="G182" i="27"/>
  <c r="E182" i="27"/>
  <c r="G181" i="27"/>
  <c r="E181" i="27"/>
  <c r="G180" i="27"/>
  <c r="E180" i="27"/>
  <c r="F177" i="27"/>
  <c r="D177" i="27"/>
  <c r="G176" i="27"/>
  <c r="E176" i="27"/>
  <c r="G175" i="27"/>
  <c r="E175" i="27"/>
  <c r="G174" i="27"/>
  <c r="E174" i="27"/>
  <c r="G173" i="27"/>
  <c r="E173" i="27"/>
  <c r="G172" i="27"/>
  <c r="E172" i="27"/>
  <c r="G171" i="27"/>
  <c r="E171" i="27"/>
  <c r="G170" i="27"/>
  <c r="E170" i="27"/>
  <c r="G169" i="27"/>
  <c r="E169" i="27"/>
  <c r="G168" i="27"/>
  <c r="E168" i="27"/>
  <c r="G167" i="27"/>
  <c r="E167" i="27"/>
  <c r="G166" i="27"/>
  <c r="E166" i="27"/>
  <c r="G165" i="27"/>
  <c r="E165" i="27"/>
  <c r="G164" i="27"/>
  <c r="E164" i="27"/>
  <c r="G163" i="27"/>
  <c r="E163" i="27"/>
  <c r="G162" i="27"/>
  <c r="E162" i="27"/>
  <c r="G161" i="27"/>
  <c r="E161" i="27"/>
  <c r="G160" i="27"/>
  <c r="E160" i="27"/>
  <c r="G159" i="27"/>
  <c r="E159" i="27"/>
  <c r="G158" i="27"/>
  <c r="E158" i="27"/>
  <c r="G157" i="27"/>
  <c r="E157" i="27"/>
  <c r="G156" i="27"/>
  <c r="E156" i="27"/>
  <c r="G155" i="27"/>
  <c r="E155" i="27"/>
  <c r="G154" i="27"/>
  <c r="E154" i="27"/>
  <c r="G153" i="27"/>
  <c r="E153" i="27"/>
  <c r="G152" i="27"/>
  <c r="E152" i="27"/>
  <c r="F149" i="27"/>
  <c r="D149" i="27"/>
  <c r="G148" i="27"/>
  <c r="E148" i="27"/>
  <c r="G147" i="27"/>
  <c r="E147" i="27"/>
  <c r="G146" i="27"/>
  <c r="E146" i="27"/>
  <c r="G145" i="27"/>
  <c r="E145" i="27"/>
  <c r="G144" i="27"/>
  <c r="E144" i="27"/>
  <c r="G143" i="27"/>
  <c r="E143" i="27"/>
  <c r="G142" i="27"/>
  <c r="E142" i="27"/>
  <c r="G141" i="27"/>
  <c r="E141" i="27"/>
  <c r="G140" i="27"/>
  <c r="E140" i="27"/>
  <c r="G139" i="27"/>
  <c r="E139" i="27"/>
  <c r="G138" i="27"/>
  <c r="E138" i="27"/>
  <c r="G137" i="27"/>
  <c r="E137" i="27"/>
  <c r="G136" i="27"/>
  <c r="E136" i="27"/>
  <c r="G135" i="27"/>
  <c r="E135" i="27"/>
  <c r="G134" i="27"/>
  <c r="E134" i="27"/>
  <c r="G133" i="27"/>
  <c r="E133" i="27"/>
  <c r="G132" i="27"/>
  <c r="E132" i="27"/>
  <c r="G131" i="27"/>
  <c r="E131" i="27"/>
  <c r="G130" i="27"/>
  <c r="E130" i="27"/>
  <c r="G129" i="27"/>
  <c r="E129" i="27"/>
  <c r="G128" i="27"/>
  <c r="E128" i="27"/>
  <c r="G127" i="27"/>
  <c r="E127" i="27"/>
  <c r="G126" i="27"/>
  <c r="E126" i="27"/>
  <c r="G125" i="27"/>
  <c r="E125" i="27"/>
  <c r="G124" i="27"/>
  <c r="E124" i="27"/>
  <c r="F121" i="27"/>
  <c r="D121" i="27"/>
  <c r="G120" i="27"/>
  <c r="E120" i="27"/>
  <c r="G119" i="27"/>
  <c r="E119" i="27"/>
  <c r="G118" i="27"/>
  <c r="E118" i="27"/>
  <c r="G117" i="27"/>
  <c r="E117" i="27"/>
  <c r="G116" i="27"/>
  <c r="E116" i="27"/>
  <c r="G115" i="27"/>
  <c r="E115" i="27"/>
  <c r="G114" i="27"/>
  <c r="E114" i="27"/>
  <c r="G113" i="27"/>
  <c r="E113" i="27"/>
  <c r="G112" i="27"/>
  <c r="E112" i="27"/>
  <c r="G111" i="27"/>
  <c r="E111" i="27"/>
  <c r="G110" i="27"/>
  <c r="E110" i="27"/>
  <c r="G109" i="27"/>
  <c r="E109" i="27"/>
  <c r="G108" i="27"/>
  <c r="E108" i="27"/>
  <c r="G107" i="27"/>
  <c r="E107" i="27"/>
  <c r="G106" i="27"/>
  <c r="E106" i="27"/>
  <c r="G105" i="27"/>
  <c r="E105" i="27"/>
  <c r="G104" i="27"/>
  <c r="E104" i="27"/>
  <c r="G103" i="27"/>
  <c r="E103" i="27"/>
  <c r="G102" i="27"/>
  <c r="E102" i="27"/>
  <c r="G101" i="27"/>
  <c r="E101" i="27"/>
  <c r="G100" i="27"/>
  <c r="E100" i="27"/>
  <c r="G99" i="27"/>
  <c r="E99" i="27"/>
  <c r="G98" i="27"/>
  <c r="E98" i="27"/>
  <c r="G97" i="27"/>
  <c r="E97" i="27"/>
  <c r="G96" i="27"/>
  <c r="E96" i="27"/>
  <c r="F93" i="27"/>
  <c r="D93" i="27"/>
  <c r="G92" i="27"/>
  <c r="E92" i="27"/>
  <c r="G91" i="27"/>
  <c r="E91" i="27"/>
  <c r="G90" i="27"/>
  <c r="E90" i="27"/>
  <c r="G89" i="27"/>
  <c r="E89" i="27"/>
  <c r="G88" i="27"/>
  <c r="E88" i="27"/>
  <c r="G87" i="27"/>
  <c r="E87" i="27"/>
  <c r="G86" i="27"/>
  <c r="E86" i="27"/>
  <c r="G85" i="27"/>
  <c r="E85" i="27"/>
  <c r="G84" i="27"/>
  <c r="E84" i="27"/>
  <c r="G83" i="27"/>
  <c r="E83" i="27"/>
  <c r="G82" i="27"/>
  <c r="E82" i="27"/>
  <c r="G81" i="27"/>
  <c r="E81" i="27"/>
  <c r="G80" i="27"/>
  <c r="E80" i="27"/>
  <c r="G79" i="27"/>
  <c r="E79" i="27"/>
  <c r="G78" i="27"/>
  <c r="E78" i="27"/>
  <c r="G77" i="27"/>
  <c r="E77" i="27"/>
  <c r="G76" i="27"/>
  <c r="E76" i="27"/>
  <c r="G75" i="27"/>
  <c r="E75" i="27"/>
  <c r="G74" i="27"/>
  <c r="E74" i="27"/>
  <c r="G73" i="27"/>
  <c r="E73" i="27"/>
  <c r="G72" i="27"/>
  <c r="E72" i="27"/>
  <c r="G71" i="27"/>
  <c r="E71" i="27"/>
  <c r="G70" i="27"/>
  <c r="E70" i="27"/>
  <c r="G69" i="27"/>
  <c r="E69" i="27"/>
  <c r="G68" i="27"/>
  <c r="E68" i="27"/>
  <c r="F65" i="27"/>
  <c r="D65" i="27"/>
  <c r="G64" i="27"/>
  <c r="E64" i="27"/>
  <c r="G62" i="27"/>
  <c r="E62" i="27"/>
  <c r="G61" i="27"/>
  <c r="E61" i="27"/>
  <c r="G60" i="27"/>
  <c r="E60" i="27"/>
  <c r="G59" i="27"/>
  <c r="E59" i="27"/>
  <c r="G58" i="27"/>
  <c r="E58" i="27"/>
  <c r="G57" i="27"/>
  <c r="E57" i="27"/>
  <c r="G56" i="27"/>
  <c r="E56" i="27"/>
  <c r="G55" i="27"/>
  <c r="E55" i="27"/>
  <c r="G54" i="27"/>
  <c r="E54" i="27"/>
  <c r="G53" i="27"/>
  <c r="E53" i="27"/>
  <c r="G52" i="27"/>
  <c r="E52" i="27"/>
  <c r="G51" i="27"/>
  <c r="E51" i="27"/>
  <c r="G50" i="27"/>
  <c r="E50" i="27"/>
  <c r="G49" i="27"/>
  <c r="E49" i="27"/>
  <c r="G48" i="27"/>
  <c r="E48" i="27"/>
  <c r="G47" i="27"/>
  <c r="E47" i="27"/>
  <c r="G46" i="27"/>
  <c r="E46" i="27"/>
  <c r="G45" i="27"/>
  <c r="E45" i="27"/>
  <c r="G44" i="27"/>
  <c r="E44" i="27"/>
  <c r="G43" i="27"/>
  <c r="E43" i="27"/>
  <c r="G42" i="27"/>
  <c r="E42" i="27"/>
  <c r="G41" i="27"/>
  <c r="E41" i="27"/>
  <c r="G40" i="27"/>
  <c r="E40" i="27"/>
  <c r="F37" i="27"/>
  <c r="D37" i="27"/>
  <c r="E37" i="27"/>
  <c r="G36" i="27"/>
  <c r="E36" i="27"/>
  <c r="G35" i="27"/>
  <c r="E35" i="27"/>
  <c r="G34" i="27"/>
  <c r="E34" i="27"/>
  <c r="G33" i="27"/>
  <c r="E33" i="27"/>
  <c r="G32" i="27"/>
  <c r="E32" i="27"/>
  <c r="G31" i="27"/>
  <c r="E31" i="27"/>
  <c r="G30" i="27"/>
  <c r="E30" i="27"/>
  <c r="G29" i="27"/>
  <c r="E29" i="27"/>
  <c r="G28" i="27"/>
  <c r="E28" i="27"/>
  <c r="G27" i="27"/>
  <c r="E27" i="27"/>
  <c r="G26" i="27"/>
  <c r="E26" i="27"/>
  <c r="G25" i="27"/>
  <c r="E25" i="27"/>
  <c r="G24" i="27"/>
  <c r="E24" i="27"/>
  <c r="G23" i="27"/>
  <c r="E23" i="27"/>
  <c r="G22" i="27"/>
  <c r="E22" i="27"/>
  <c r="G21" i="27"/>
  <c r="E21" i="27"/>
  <c r="G20" i="27"/>
  <c r="E20" i="27"/>
  <c r="G19" i="27"/>
  <c r="E19" i="27"/>
  <c r="G18" i="27"/>
  <c r="E18" i="27"/>
  <c r="G17" i="27"/>
  <c r="E17" i="27"/>
  <c r="G16" i="27"/>
  <c r="E16" i="27"/>
  <c r="G15" i="27"/>
  <c r="E15" i="27"/>
  <c r="G14" i="27"/>
  <c r="E14" i="27"/>
  <c r="G13" i="27"/>
  <c r="E13" i="27"/>
  <c r="G12" i="27"/>
  <c r="E12" i="27"/>
  <c r="F345" i="26"/>
  <c r="D345" i="26"/>
  <c r="G344" i="26"/>
  <c r="E344" i="26"/>
  <c r="G343" i="26"/>
  <c r="E343" i="26"/>
  <c r="G342" i="26"/>
  <c r="E342" i="26"/>
  <c r="G341" i="26"/>
  <c r="E341" i="26"/>
  <c r="G340" i="26"/>
  <c r="E340" i="26"/>
  <c r="G339" i="26"/>
  <c r="E339" i="26"/>
  <c r="G338" i="26"/>
  <c r="E338" i="26"/>
  <c r="G337" i="26"/>
  <c r="E337" i="26"/>
  <c r="G336" i="26"/>
  <c r="E336" i="26"/>
  <c r="G335" i="26"/>
  <c r="E335" i="26"/>
  <c r="G334" i="26"/>
  <c r="E334" i="26"/>
  <c r="G333" i="26"/>
  <c r="E333" i="26"/>
  <c r="G332" i="26"/>
  <c r="E332" i="26"/>
  <c r="G331" i="26"/>
  <c r="E331" i="26"/>
  <c r="G330" i="26"/>
  <c r="E330" i="26"/>
  <c r="G329" i="26"/>
  <c r="E329" i="26"/>
  <c r="G328" i="26"/>
  <c r="E328" i="26"/>
  <c r="G327" i="26"/>
  <c r="E327" i="26"/>
  <c r="G326" i="26"/>
  <c r="E326" i="26"/>
  <c r="G325" i="26"/>
  <c r="E325" i="26"/>
  <c r="G324" i="26"/>
  <c r="E324" i="26"/>
  <c r="G323" i="26"/>
  <c r="E323" i="26"/>
  <c r="G322" i="26"/>
  <c r="E322" i="26"/>
  <c r="G321" i="26"/>
  <c r="E321" i="26"/>
  <c r="G320" i="26"/>
  <c r="E320" i="26"/>
  <c r="F317" i="26"/>
  <c r="D317" i="26"/>
  <c r="E317" i="26"/>
  <c r="G316" i="26"/>
  <c r="E316" i="26"/>
  <c r="G315" i="26"/>
  <c r="E315" i="26"/>
  <c r="G314" i="26"/>
  <c r="E314" i="26"/>
  <c r="G313" i="26"/>
  <c r="E313" i="26"/>
  <c r="G312" i="26"/>
  <c r="E312" i="26"/>
  <c r="G311" i="26"/>
  <c r="E311" i="26"/>
  <c r="G310" i="26"/>
  <c r="E310" i="26"/>
  <c r="G309" i="26"/>
  <c r="E309" i="26"/>
  <c r="G308" i="26"/>
  <c r="E308" i="26"/>
  <c r="G307" i="26"/>
  <c r="E307" i="26"/>
  <c r="G306" i="26"/>
  <c r="E306" i="26"/>
  <c r="G305" i="26"/>
  <c r="E305" i="26"/>
  <c r="G304" i="26"/>
  <c r="E304" i="26"/>
  <c r="G303" i="26"/>
  <c r="E303" i="26"/>
  <c r="G302" i="26"/>
  <c r="E302" i="26"/>
  <c r="G301" i="26"/>
  <c r="E301" i="26"/>
  <c r="G300" i="26"/>
  <c r="E300" i="26"/>
  <c r="G299" i="26"/>
  <c r="E299" i="26"/>
  <c r="G298" i="26"/>
  <c r="E298" i="26"/>
  <c r="G297" i="26"/>
  <c r="E297" i="26"/>
  <c r="G296" i="26"/>
  <c r="E296" i="26"/>
  <c r="G295" i="26"/>
  <c r="E295" i="26"/>
  <c r="G294" i="26"/>
  <c r="E294" i="26"/>
  <c r="G293" i="26"/>
  <c r="E293" i="26"/>
  <c r="G292" i="26"/>
  <c r="E292" i="26"/>
  <c r="F289" i="26"/>
  <c r="D289" i="26"/>
  <c r="G289" i="26"/>
  <c r="G288" i="26"/>
  <c r="E288" i="26"/>
  <c r="G287" i="26"/>
  <c r="E287" i="26"/>
  <c r="G286" i="26"/>
  <c r="E286" i="26"/>
  <c r="G285" i="26"/>
  <c r="E285" i="26"/>
  <c r="G284" i="26"/>
  <c r="E284" i="26"/>
  <c r="G283" i="26"/>
  <c r="E283" i="26"/>
  <c r="G282" i="26"/>
  <c r="E282" i="26"/>
  <c r="G281" i="26"/>
  <c r="E281" i="26"/>
  <c r="G280" i="26"/>
  <c r="E280" i="26"/>
  <c r="G279" i="26"/>
  <c r="E279" i="26"/>
  <c r="G278" i="26"/>
  <c r="E278" i="26"/>
  <c r="G277" i="26"/>
  <c r="E277" i="26"/>
  <c r="G276" i="26"/>
  <c r="E276" i="26"/>
  <c r="G275" i="26"/>
  <c r="E275" i="26"/>
  <c r="G274" i="26"/>
  <c r="E274" i="26"/>
  <c r="G273" i="26"/>
  <c r="E273" i="26"/>
  <c r="G272" i="26"/>
  <c r="E272" i="26"/>
  <c r="G271" i="26"/>
  <c r="E271" i="26"/>
  <c r="G270" i="26"/>
  <c r="E270" i="26"/>
  <c r="G269" i="26"/>
  <c r="E269" i="26"/>
  <c r="G268" i="26"/>
  <c r="E268" i="26"/>
  <c r="G267" i="26"/>
  <c r="E267" i="26"/>
  <c r="G266" i="26"/>
  <c r="E266" i="26"/>
  <c r="G265" i="26"/>
  <c r="E265" i="26"/>
  <c r="G264" i="26"/>
  <c r="E264" i="26"/>
  <c r="F261" i="26"/>
  <c r="D261" i="26"/>
  <c r="G260" i="26"/>
  <c r="E260" i="26"/>
  <c r="G259" i="26"/>
  <c r="E259" i="26"/>
  <c r="G258" i="26"/>
  <c r="E258" i="26"/>
  <c r="G257" i="26"/>
  <c r="E257" i="26"/>
  <c r="G256" i="26"/>
  <c r="E256" i="26"/>
  <c r="G255" i="26"/>
  <c r="E255" i="26"/>
  <c r="G254" i="26"/>
  <c r="E254" i="26"/>
  <c r="G253" i="26"/>
  <c r="E253" i="26"/>
  <c r="G252" i="26"/>
  <c r="E252" i="26"/>
  <c r="G251" i="26"/>
  <c r="E251" i="26"/>
  <c r="G250" i="26"/>
  <c r="E250" i="26"/>
  <c r="G249" i="26"/>
  <c r="E249" i="26"/>
  <c r="G248" i="26"/>
  <c r="E248" i="26"/>
  <c r="G247" i="26"/>
  <c r="E247" i="26"/>
  <c r="G246" i="26"/>
  <c r="E246" i="26"/>
  <c r="G245" i="26"/>
  <c r="E245" i="26"/>
  <c r="G244" i="26"/>
  <c r="E244" i="26"/>
  <c r="G243" i="26"/>
  <c r="E243" i="26"/>
  <c r="G242" i="26"/>
  <c r="E242" i="26"/>
  <c r="G241" i="26"/>
  <c r="E241" i="26"/>
  <c r="G240" i="26"/>
  <c r="E240" i="26"/>
  <c r="G239" i="26"/>
  <c r="E239" i="26"/>
  <c r="G238" i="26"/>
  <c r="E238" i="26"/>
  <c r="G237" i="26"/>
  <c r="E237" i="26"/>
  <c r="G236" i="26"/>
  <c r="E236" i="26"/>
  <c r="F233" i="26"/>
  <c r="D233" i="26"/>
  <c r="G232" i="26"/>
  <c r="E232" i="26"/>
  <c r="G231" i="26"/>
  <c r="E231" i="26"/>
  <c r="G230" i="26"/>
  <c r="E230" i="26"/>
  <c r="G229" i="26"/>
  <c r="E229" i="26"/>
  <c r="G228" i="26"/>
  <c r="E228" i="26"/>
  <c r="G227" i="26"/>
  <c r="E227" i="26"/>
  <c r="G226" i="26"/>
  <c r="E226" i="26"/>
  <c r="G225" i="26"/>
  <c r="E225" i="26"/>
  <c r="G224" i="26"/>
  <c r="E224" i="26"/>
  <c r="G223" i="26"/>
  <c r="E223" i="26"/>
  <c r="G222" i="26"/>
  <c r="E222" i="26"/>
  <c r="G221" i="26"/>
  <c r="E221" i="26"/>
  <c r="G220" i="26"/>
  <c r="E220" i="26"/>
  <c r="G219" i="26"/>
  <c r="E219" i="26"/>
  <c r="G218" i="26"/>
  <c r="E218" i="26"/>
  <c r="G217" i="26"/>
  <c r="E217" i="26"/>
  <c r="G216" i="26"/>
  <c r="E216" i="26"/>
  <c r="G215" i="26"/>
  <c r="E215" i="26"/>
  <c r="G214" i="26"/>
  <c r="E214" i="26"/>
  <c r="G213" i="26"/>
  <c r="E213" i="26"/>
  <c r="G212" i="26"/>
  <c r="E212" i="26"/>
  <c r="G211" i="26"/>
  <c r="E211" i="26"/>
  <c r="G210" i="26"/>
  <c r="E210" i="26"/>
  <c r="G209" i="26"/>
  <c r="E209" i="26"/>
  <c r="G208" i="26"/>
  <c r="E208" i="26"/>
  <c r="F205" i="26"/>
  <c r="D205" i="26"/>
  <c r="G204" i="26"/>
  <c r="E204" i="26"/>
  <c r="G203" i="26"/>
  <c r="E203" i="26"/>
  <c r="G202" i="26"/>
  <c r="E202" i="26"/>
  <c r="G201" i="26"/>
  <c r="E201" i="26"/>
  <c r="G200" i="26"/>
  <c r="E200" i="26"/>
  <c r="G199" i="26"/>
  <c r="E199" i="26"/>
  <c r="G198" i="26"/>
  <c r="E198" i="26"/>
  <c r="G197" i="26"/>
  <c r="E197" i="26"/>
  <c r="G196" i="26"/>
  <c r="E196" i="26"/>
  <c r="G195" i="26"/>
  <c r="E195" i="26"/>
  <c r="G194" i="26"/>
  <c r="E194" i="26"/>
  <c r="G193" i="26"/>
  <c r="E193" i="26"/>
  <c r="G192" i="26"/>
  <c r="E192" i="26"/>
  <c r="G191" i="26"/>
  <c r="E191" i="26"/>
  <c r="G190" i="26"/>
  <c r="E190" i="26"/>
  <c r="G189" i="26"/>
  <c r="E189" i="26"/>
  <c r="G188" i="26"/>
  <c r="E188" i="26"/>
  <c r="G187" i="26"/>
  <c r="E187" i="26"/>
  <c r="G186" i="26"/>
  <c r="E186" i="26"/>
  <c r="G185" i="26"/>
  <c r="E185" i="26"/>
  <c r="G184" i="26"/>
  <c r="E184" i="26"/>
  <c r="G183" i="26"/>
  <c r="E183" i="26"/>
  <c r="G182" i="26"/>
  <c r="E182" i="26"/>
  <c r="G181" i="26"/>
  <c r="E181" i="26"/>
  <c r="G180" i="26"/>
  <c r="E180" i="26"/>
  <c r="F177" i="26"/>
  <c r="D177" i="26"/>
  <c r="G176" i="26"/>
  <c r="E176" i="26"/>
  <c r="G175" i="26"/>
  <c r="E175" i="26"/>
  <c r="G174" i="26"/>
  <c r="E174" i="26"/>
  <c r="G173" i="26"/>
  <c r="E173" i="26"/>
  <c r="G172" i="26"/>
  <c r="E172" i="26"/>
  <c r="G171" i="26"/>
  <c r="E171" i="26"/>
  <c r="G170" i="26"/>
  <c r="E170" i="26"/>
  <c r="G169" i="26"/>
  <c r="E169" i="26"/>
  <c r="G168" i="26"/>
  <c r="E168" i="26"/>
  <c r="G167" i="26"/>
  <c r="E167" i="26"/>
  <c r="G166" i="26"/>
  <c r="E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F149" i="26"/>
  <c r="D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G126" i="26"/>
  <c r="E126" i="26"/>
  <c r="G125" i="26"/>
  <c r="E125" i="26"/>
  <c r="G124" i="26"/>
  <c r="E124" i="26"/>
  <c r="F121" i="26"/>
  <c r="D121" i="26"/>
  <c r="G120" i="26"/>
  <c r="E120" i="26"/>
  <c r="G119" i="26"/>
  <c r="E119" i="26"/>
  <c r="G118" i="26"/>
  <c r="E118" i="26"/>
  <c r="G117" i="26"/>
  <c r="E117" i="26"/>
  <c r="G116" i="26"/>
  <c r="E116" i="26"/>
  <c r="G115" i="26"/>
  <c r="E115" i="26"/>
  <c r="G114" i="26"/>
  <c r="E114" i="26"/>
  <c r="G113" i="26"/>
  <c r="E113" i="26"/>
  <c r="G112" i="26"/>
  <c r="E112" i="26"/>
  <c r="G111" i="26"/>
  <c r="E111" i="26"/>
  <c r="G110" i="26"/>
  <c r="E110" i="26"/>
  <c r="G109" i="26"/>
  <c r="E109" i="26"/>
  <c r="G108" i="26"/>
  <c r="E108" i="26"/>
  <c r="G107" i="26"/>
  <c r="E107" i="26"/>
  <c r="G106" i="26"/>
  <c r="E106" i="26"/>
  <c r="G105" i="26"/>
  <c r="E105" i="26"/>
  <c r="G104" i="26"/>
  <c r="E104" i="26"/>
  <c r="G103" i="26"/>
  <c r="E103" i="26"/>
  <c r="G102" i="26"/>
  <c r="E102" i="26"/>
  <c r="G101" i="26"/>
  <c r="E101" i="26"/>
  <c r="G100" i="26"/>
  <c r="E100" i="26"/>
  <c r="G99" i="26"/>
  <c r="E99" i="26"/>
  <c r="G98" i="26"/>
  <c r="E98" i="26"/>
  <c r="G97" i="26"/>
  <c r="E97" i="26"/>
  <c r="G96" i="26"/>
  <c r="E96" i="26"/>
  <c r="F93" i="26"/>
  <c r="D93" i="26"/>
  <c r="G92" i="26"/>
  <c r="E92" i="26"/>
  <c r="G91" i="26"/>
  <c r="E91" i="26"/>
  <c r="G90" i="26"/>
  <c r="E90" i="26"/>
  <c r="G89" i="26"/>
  <c r="E89" i="26"/>
  <c r="G88" i="26"/>
  <c r="E88" i="26"/>
  <c r="G87" i="26"/>
  <c r="E87" i="26"/>
  <c r="G86" i="26"/>
  <c r="E86" i="26"/>
  <c r="G85" i="26"/>
  <c r="E85" i="26"/>
  <c r="G84" i="26"/>
  <c r="E84" i="26"/>
  <c r="G83" i="26"/>
  <c r="E83" i="26"/>
  <c r="G82" i="26"/>
  <c r="E82" i="26"/>
  <c r="G81" i="26"/>
  <c r="E81" i="26"/>
  <c r="G80" i="26"/>
  <c r="E80" i="26"/>
  <c r="G79" i="26"/>
  <c r="E79" i="26"/>
  <c r="G78" i="26"/>
  <c r="E78" i="26"/>
  <c r="G77" i="26"/>
  <c r="E77" i="26"/>
  <c r="G76" i="26"/>
  <c r="E76" i="26"/>
  <c r="G75" i="26"/>
  <c r="E75" i="26"/>
  <c r="G74" i="26"/>
  <c r="E74" i="26"/>
  <c r="G73" i="26"/>
  <c r="E73" i="26"/>
  <c r="G72" i="26"/>
  <c r="E72" i="26"/>
  <c r="G71" i="26"/>
  <c r="E71" i="26"/>
  <c r="G70" i="26"/>
  <c r="E70" i="26"/>
  <c r="G69" i="26"/>
  <c r="E69" i="26"/>
  <c r="G68" i="26"/>
  <c r="E68" i="26"/>
  <c r="F65" i="26"/>
  <c r="D65" i="26"/>
  <c r="G64" i="26"/>
  <c r="E64" i="26"/>
  <c r="G63" i="26"/>
  <c r="E63" i="26"/>
  <c r="G62" i="26"/>
  <c r="E62" i="26"/>
  <c r="G61" i="26"/>
  <c r="E61" i="26"/>
  <c r="G60" i="26"/>
  <c r="E60" i="26"/>
  <c r="G59" i="26"/>
  <c r="E59" i="26"/>
  <c r="G58" i="26"/>
  <c r="E58" i="26"/>
  <c r="G57" i="26"/>
  <c r="E57" i="26"/>
  <c r="G56" i="26"/>
  <c r="E56" i="26"/>
  <c r="G55" i="26"/>
  <c r="E55" i="26"/>
  <c r="G54" i="26"/>
  <c r="E54" i="26"/>
  <c r="G53" i="26"/>
  <c r="E53" i="26"/>
  <c r="G52" i="26"/>
  <c r="E52" i="26"/>
  <c r="G51" i="26"/>
  <c r="E51" i="26"/>
  <c r="G50" i="26"/>
  <c r="E50" i="26"/>
  <c r="G49" i="26"/>
  <c r="E49" i="26"/>
  <c r="G48" i="26"/>
  <c r="E48" i="26"/>
  <c r="G47" i="26"/>
  <c r="E47" i="26"/>
  <c r="G46" i="26"/>
  <c r="E46" i="26"/>
  <c r="G45" i="26"/>
  <c r="E45" i="26"/>
  <c r="G44" i="26"/>
  <c r="E44" i="26"/>
  <c r="G43" i="26"/>
  <c r="E43" i="26"/>
  <c r="G42" i="26"/>
  <c r="E42" i="26"/>
  <c r="G41" i="26"/>
  <c r="E41" i="26"/>
  <c r="G40" i="26"/>
  <c r="E40" i="26"/>
  <c r="F37" i="26"/>
  <c r="D37" i="26"/>
  <c r="G36" i="26"/>
  <c r="E36" i="26"/>
  <c r="G35" i="26"/>
  <c r="E35" i="26"/>
  <c r="G34" i="26"/>
  <c r="E34" i="26"/>
  <c r="G33" i="26"/>
  <c r="E33" i="26"/>
  <c r="G32" i="26"/>
  <c r="E32" i="26"/>
  <c r="G31" i="26"/>
  <c r="E31" i="26"/>
  <c r="G30" i="26"/>
  <c r="E30" i="26"/>
  <c r="G29" i="26"/>
  <c r="E29" i="26"/>
  <c r="G28" i="26"/>
  <c r="E28" i="26"/>
  <c r="G27" i="26"/>
  <c r="E27" i="26"/>
  <c r="G26" i="26"/>
  <c r="E26" i="26"/>
  <c r="G25" i="26"/>
  <c r="E25" i="26"/>
  <c r="G24" i="26"/>
  <c r="E24" i="26"/>
  <c r="G23" i="26"/>
  <c r="E23" i="26"/>
  <c r="G22" i="26"/>
  <c r="E22" i="26"/>
  <c r="G21" i="26"/>
  <c r="E21" i="26"/>
  <c r="G20" i="26"/>
  <c r="E20" i="26"/>
  <c r="G19" i="26"/>
  <c r="E19" i="26"/>
  <c r="G18" i="26"/>
  <c r="E18" i="26"/>
  <c r="G17" i="26"/>
  <c r="E17" i="26"/>
  <c r="G16" i="26"/>
  <c r="E16" i="26"/>
  <c r="G15" i="26"/>
  <c r="E15" i="26"/>
  <c r="G14" i="26"/>
  <c r="E14" i="26"/>
  <c r="G13" i="26"/>
  <c r="E13" i="26"/>
  <c r="G12" i="26"/>
  <c r="E12" i="26"/>
  <c r="F14" i="21"/>
  <c r="F13" i="21"/>
  <c r="B7" i="21"/>
  <c r="B82" i="21"/>
  <c r="F346" i="25"/>
  <c r="D346" i="25"/>
  <c r="E346" i="25"/>
  <c r="G345" i="25"/>
  <c r="E345" i="25"/>
  <c r="G344" i="25"/>
  <c r="E344" i="25"/>
  <c r="G343" i="25"/>
  <c r="E343" i="25"/>
  <c r="G342" i="25"/>
  <c r="E342" i="25"/>
  <c r="G341" i="25"/>
  <c r="E341" i="25"/>
  <c r="G340" i="25"/>
  <c r="E340" i="25"/>
  <c r="G339" i="25"/>
  <c r="E339" i="25"/>
  <c r="G338" i="25"/>
  <c r="E338" i="25"/>
  <c r="G337" i="25"/>
  <c r="E337" i="25"/>
  <c r="G336" i="25"/>
  <c r="E336" i="25"/>
  <c r="G335" i="25"/>
  <c r="E335" i="25"/>
  <c r="G334" i="25"/>
  <c r="E334" i="25"/>
  <c r="G333" i="25"/>
  <c r="E333" i="25"/>
  <c r="G332" i="25"/>
  <c r="E332" i="25"/>
  <c r="G331" i="25"/>
  <c r="E331" i="25"/>
  <c r="G330" i="25"/>
  <c r="E330" i="25"/>
  <c r="G329" i="25"/>
  <c r="E329" i="25"/>
  <c r="G328" i="25"/>
  <c r="E328" i="25"/>
  <c r="G327" i="25"/>
  <c r="E327" i="25"/>
  <c r="G326" i="25"/>
  <c r="E326" i="25"/>
  <c r="G325" i="25"/>
  <c r="E325" i="25"/>
  <c r="G324" i="25"/>
  <c r="E324" i="25"/>
  <c r="G323" i="25"/>
  <c r="E323" i="25"/>
  <c r="G322" i="25"/>
  <c r="E322" i="25"/>
  <c r="G321" i="25"/>
  <c r="E321" i="25"/>
  <c r="F318" i="25"/>
  <c r="D318" i="25"/>
  <c r="E318" i="25"/>
  <c r="G317" i="25"/>
  <c r="E317" i="25"/>
  <c r="G316" i="25"/>
  <c r="E316" i="25"/>
  <c r="G315" i="25"/>
  <c r="E315" i="25"/>
  <c r="G314" i="25"/>
  <c r="E314" i="25"/>
  <c r="G313" i="25"/>
  <c r="E313" i="25"/>
  <c r="G312" i="25"/>
  <c r="E312" i="25"/>
  <c r="G311" i="25"/>
  <c r="E311" i="25"/>
  <c r="G310" i="25"/>
  <c r="E310" i="25"/>
  <c r="G309" i="25"/>
  <c r="E309" i="25"/>
  <c r="G308" i="25"/>
  <c r="E308" i="25"/>
  <c r="G307" i="25"/>
  <c r="E307" i="25"/>
  <c r="G306" i="25"/>
  <c r="E306" i="25"/>
  <c r="G305" i="25"/>
  <c r="E305" i="25"/>
  <c r="G304" i="25"/>
  <c r="E304" i="25"/>
  <c r="G303" i="25"/>
  <c r="E303" i="25"/>
  <c r="G302" i="25"/>
  <c r="E302" i="25"/>
  <c r="G301" i="25"/>
  <c r="E301" i="25"/>
  <c r="G300" i="25"/>
  <c r="E300" i="25"/>
  <c r="G299" i="25"/>
  <c r="E299" i="25"/>
  <c r="G298" i="25"/>
  <c r="E298" i="25"/>
  <c r="G297" i="25"/>
  <c r="E297" i="25"/>
  <c r="G296" i="25"/>
  <c r="E296" i="25"/>
  <c r="G295" i="25"/>
  <c r="E295" i="25"/>
  <c r="G294" i="25"/>
  <c r="E294" i="25"/>
  <c r="G293" i="25"/>
  <c r="E293" i="25"/>
  <c r="F290" i="25"/>
  <c r="D290" i="25"/>
  <c r="E290" i="25"/>
  <c r="G289" i="25"/>
  <c r="E289" i="25"/>
  <c r="G288" i="25"/>
  <c r="E288" i="25"/>
  <c r="G287" i="25"/>
  <c r="E287" i="25"/>
  <c r="G286" i="25"/>
  <c r="E286" i="25"/>
  <c r="G285" i="25"/>
  <c r="E285" i="25"/>
  <c r="G284" i="25"/>
  <c r="E284" i="25"/>
  <c r="G283" i="25"/>
  <c r="E283" i="25"/>
  <c r="G282" i="25"/>
  <c r="E282" i="25"/>
  <c r="G281" i="25"/>
  <c r="E281" i="25"/>
  <c r="G280" i="25"/>
  <c r="E280" i="25"/>
  <c r="G279" i="25"/>
  <c r="E279" i="25"/>
  <c r="G278" i="25"/>
  <c r="E278" i="25"/>
  <c r="G277" i="25"/>
  <c r="E277" i="25"/>
  <c r="G276" i="25"/>
  <c r="E276" i="25"/>
  <c r="G275" i="25"/>
  <c r="E275" i="25"/>
  <c r="G274" i="25"/>
  <c r="E274" i="25"/>
  <c r="G273" i="25"/>
  <c r="E273" i="25"/>
  <c r="G272" i="25"/>
  <c r="E272" i="25"/>
  <c r="G271" i="25"/>
  <c r="E271" i="25"/>
  <c r="G270" i="25"/>
  <c r="E270" i="25"/>
  <c r="G269" i="25"/>
  <c r="E269" i="25"/>
  <c r="G268" i="25"/>
  <c r="E268" i="25"/>
  <c r="G267" i="25"/>
  <c r="E267" i="25"/>
  <c r="G266" i="25"/>
  <c r="E266" i="25"/>
  <c r="G265" i="25"/>
  <c r="E265" i="25"/>
  <c r="F262" i="25"/>
  <c r="D262" i="25"/>
  <c r="E262" i="25"/>
  <c r="G261" i="25"/>
  <c r="E261" i="25"/>
  <c r="G260" i="25"/>
  <c r="E260" i="25"/>
  <c r="G259" i="25"/>
  <c r="E259" i="25"/>
  <c r="G258" i="25"/>
  <c r="E258" i="25"/>
  <c r="G257" i="25"/>
  <c r="E257" i="25"/>
  <c r="G256" i="25"/>
  <c r="E256" i="25"/>
  <c r="G255" i="25"/>
  <c r="E255" i="25"/>
  <c r="G254" i="25"/>
  <c r="E254" i="25"/>
  <c r="G253" i="25"/>
  <c r="E253" i="25"/>
  <c r="G252" i="25"/>
  <c r="E252" i="25"/>
  <c r="G251" i="25"/>
  <c r="E251" i="25"/>
  <c r="G250" i="25"/>
  <c r="E250" i="25"/>
  <c r="G249" i="25"/>
  <c r="E249" i="25"/>
  <c r="G248" i="25"/>
  <c r="E248" i="25"/>
  <c r="G247" i="25"/>
  <c r="E247" i="25"/>
  <c r="G246" i="25"/>
  <c r="E246" i="25"/>
  <c r="G245" i="25"/>
  <c r="E245" i="25"/>
  <c r="G244" i="25"/>
  <c r="E244" i="25"/>
  <c r="G243" i="25"/>
  <c r="E243" i="25"/>
  <c r="G242" i="25"/>
  <c r="E242" i="25"/>
  <c r="G241" i="25"/>
  <c r="E241" i="25"/>
  <c r="G240" i="25"/>
  <c r="E240" i="25"/>
  <c r="G239" i="25"/>
  <c r="E239" i="25"/>
  <c r="G238" i="25"/>
  <c r="E238" i="25"/>
  <c r="G237" i="25"/>
  <c r="E237" i="25"/>
  <c r="F234" i="25"/>
  <c r="D234" i="25"/>
  <c r="E234" i="25"/>
  <c r="G233" i="25"/>
  <c r="E233" i="25"/>
  <c r="G232" i="25"/>
  <c r="E232" i="25"/>
  <c r="G231" i="25"/>
  <c r="E231" i="25"/>
  <c r="G230" i="25"/>
  <c r="E230" i="25"/>
  <c r="G229" i="25"/>
  <c r="E229" i="25"/>
  <c r="G228" i="25"/>
  <c r="E228" i="25"/>
  <c r="G227" i="25"/>
  <c r="E227" i="25"/>
  <c r="G226" i="25"/>
  <c r="E226" i="25"/>
  <c r="G225" i="25"/>
  <c r="E225" i="25"/>
  <c r="G224" i="25"/>
  <c r="E224" i="25"/>
  <c r="G223" i="25"/>
  <c r="E223" i="25"/>
  <c r="G222" i="25"/>
  <c r="E222" i="25"/>
  <c r="G221" i="25"/>
  <c r="E221" i="25"/>
  <c r="G220" i="25"/>
  <c r="E220" i="25"/>
  <c r="G219" i="25"/>
  <c r="E219" i="25"/>
  <c r="G218" i="25"/>
  <c r="E218" i="25"/>
  <c r="G217" i="25"/>
  <c r="E217" i="25"/>
  <c r="G216" i="25"/>
  <c r="E216" i="25"/>
  <c r="G215" i="25"/>
  <c r="E215" i="25"/>
  <c r="G214" i="25"/>
  <c r="E214" i="25"/>
  <c r="G213" i="25"/>
  <c r="E213" i="25"/>
  <c r="G212" i="25"/>
  <c r="E212" i="25"/>
  <c r="G211" i="25"/>
  <c r="E211" i="25"/>
  <c r="G210" i="25"/>
  <c r="E210" i="25"/>
  <c r="G209" i="25"/>
  <c r="E209" i="25"/>
  <c r="F206" i="25"/>
  <c r="D206" i="25"/>
  <c r="E206" i="25"/>
  <c r="G205" i="25"/>
  <c r="E205" i="25"/>
  <c r="G204" i="25"/>
  <c r="E204" i="25"/>
  <c r="G203" i="25"/>
  <c r="E203" i="25"/>
  <c r="G202" i="25"/>
  <c r="E202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91" i="25"/>
  <c r="E191" i="25"/>
  <c r="G190" i="25"/>
  <c r="E190" i="25"/>
  <c r="G189" i="25"/>
  <c r="E189" i="25"/>
  <c r="G188" i="25"/>
  <c r="E188" i="25"/>
  <c r="G187" i="25"/>
  <c r="E187" i="25"/>
  <c r="G186" i="25"/>
  <c r="E186" i="25"/>
  <c r="G185" i="25"/>
  <c r="E185" i="25"/>
  <c r="G184" i="25"/>
  <c r="E184" i="25"/>
  <c r="G183" i="25"/>
  <c r="E183" i="25"/>
  <c r="G182" i="25"/>
  <c r="E182" i="25"/>
  <c r="G181" i="25"/>
  <c r="E181" i="25"/>
  <c r="F178" i="25"/>
  <c r="D178" i="25"/>
  <c r="E178" i="25"/>
  <c r="G177" i="25"/>
  <c r="E177" i="25"/>
  <c r="G176" i="25"/>
  <c r="E176" i="25"/>
  <c r="G175" i="25"/>
  <c r="E175" i="25"/>
  <c r="G174" i="25"/>
  <c r="E174" i="25"/>
  <c r="G173" i="25"/>
  <c r="E173" i="25"/>
  <c r="G172" i="25"/>
  <c r="E172" i="25"/>
  <c r="G171" i="25"/>
  <c r="E171" i="25"/>
  <c r="G170" i="25"/>
  <c r="E170" i="25"/>
  <c r="G169" i="25"/>
  <c r="E169" i="25"/>
  <c r="G168" i="25"/>
  <c r="E168" i="25"/>
  <c r="G167" i="25"/>
  <c r="E167" i="25"/>
  <c r="G166" i="25"/>
  <c r="E166" i="25"/>
  <c r="G165" i="25"/>
  <c r="E165" i="25"/>
  <c r="G164" i="25"/>
  <c r="E164" i="25"/>
  <c r="G163" i="25"/>
  <c r="E163" i="25"/>
  <c r="G162" i="25"/>
  <c r="E162" i="25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F150" i="25"/>
  <c r="D150" i="25"/>
  <c r="E150" i="25"/>
  <c r="G149" i="25"/>
  <c r="E149" i="25"/>
  <c r="G148" i="25"/>
  <c r="E148" i="25"/>
  <c r="G147" i="25"/>
  <c r="E147" i="25"/>
  <c r="G146" i="25"/>
  <c r="E146" i="25"/>
  <c r="G145" i="25"/>
  <c r="E145" i="25"/>
  <c r="G144" i="25"/>
  <c r="E144" i="25"/>
  <c r="G143" i="25"/>
  <c r="E143" i="25"/>
  <c r="G142" i="25"/>
  <c r="E142" i="25"/>
  <c r="G141" i="25"/>
  <c r="E141" i="25"/>
  <c r="G140" i="25"/>
  <c r="E140" i="25"/>
  <c r="G139" i="25"/>
  <c r="E139" i="25"/>
  <c r="G138" i="25"/>
  <c r="E138" i="25"/>
  <c r="G137" i="25"/>
  <c r="E137" i="25"/>
  <c r="G136" i="25"/>
  <c r="E136" i="25"/>
  <c r="G135" i="25"/>
  <c r="E135" i="25"/>
  <c r="G134" i="25"/>
  <c r="E134" i="25"/>
  <c r="G133" i="25"/>
  <c r="E133" i="25"/>
  <c r="G132" i="25"/>
  <c r="E132" i="25"/>
  <c r="G131" i="25"/>
  <c r="E131" i="25"/>
  <c r="G130" i="25"/>
  <c r="E130" i="25"/>
  <c r="G129" i="25"/>
  <c r="E129" i="25"/>
  <c r="G128" i="25"/>
  <c r="E128" i="25"/>
  <c r="G127" i="25"/>
  <c r="E127" i="25"/>
  <c r="G126" i="25"/>
  <c r="E126" i="25"/>
  <c r="G125" i="25"/>
  <c r="E125" i="25"/>
  <c r="F122" i="25"/>
  <c r="D122" i="25"/>
  <c r="E122" i="25"/>
  <c r="G121" i="25"/>
  <c r="E121" i="25"/>
  <c r="G120" i="25"/>
  <c r="E120" i="25"/>
  <c r="G119" i="25"/>
  <c r="E119" i="25"/>
  <c r="G118" i="25"/>
  <c r="E118" i="25"/>
  <c r="G117" i="25"/>
  <c r="E117" i="25"/>
  <c r="G116" i="25"/>
  <c r="E116" i="25"/>
  <c r="G115" i="25"/>
  <c r="E115" i="25"/>
  <c r="G114" i="25"/>
  <c r="E114" i="25"/>
  <c r="G113" i="25"/>
  <c r="E113" i="25"/>
  <c r="G112" i="25"/>
  <c r="E112" i="25"/>
  <c r="G111" i="25"/>
  <c r="E111" i="25"/>
  <c r="G110" i="25"/>
  <c r="E110" i="25"/>
  <c r="G109" i="25"/>
  <c r="E109" i="25"/>
  <c r="G108" i="25"/>
  <c r="E108" i="25"/>
  <c r="G107" i="25"/>
  <c r="E107" i="25"/>
  <c r="G106" i="25"/>
  <c r="E106" i="25"/>
  <c r="G105" i="25"/>
  <c r="E105" i="25"/>
  <c r="G104" i="25"/>
  <c r="E104" i="25"/>
  <c r="G103" i="25"/>
  <c r="E103" i="25"/>
  <c r="G102" i="25"/>
  <c r="E102" i="25"/>
  <c r="G101" i="25"/>
  <c r="E101" i="25"/>
  <c r="G100" i="25"/>
  <c r="E100" i="25"/>
  <c r="G99" i="25"/>
  <c r="E99" i="25"/>
  <c r="G98" i="25"/>
  <c r="E98" i="25"/>
  <c r="G97" i="25"/>
  <c r="E97" i="25"/>
  <c r="F94" i="25"/>
  <c r="D94" i="25"/>
  <c r="E94" i="25"/>
  <c r="G93" i="25"/>
  <c r="E93" i="25"/>
  <c r="G92" i="25"/>
  <c r="E92" i="25"/>
  <c r="G91" i="25"/>
  <c r="E91" i="25"/>
  <c r="G90" i="25"/>
  <c r="E90" i="25"/>
  <c r="G89" i="25"/>
  <c r="E89" i="25"/>
  <c r="G88" i="25"/>
  <c r="E88" i="25"/>
  <c r="G87" i="25"/>
  <c r="E87" i="25"/>
  <c r="G86" i="25"/>
  <c r="E86" i="25"/>
  <c r="G85" i="25"/>
  <c r="E85" i="25"/>
  <c r="G84" i="25"/>
  <c r="E84" i="25"/>
  <c r="G83" i="25"/>
  <c r="E83" i="25"/>
  <c r="G82" i="25"/>
  <c r="E82" i="25"/>
  <c r="G81" i="25"/>
  <c r="E81" i="25"/>
  <c r="G80" i="25"/>
  <c r="E80" i="25"/>
  <c r="G79" i="25"/>
  <c r="E79" i="25"/>
  <c r="G78" i="25"/>
  <c r="E78" i="25"/>
  <c r="G77" i="25"/>
  <c r="E77" i="25"/>
  <c r="G76" i="25"/>
  <c r="E76" i="25"/>
  <c r="G75" i="25"/>
  <c r="E75" i="25"/>
  <c r="G74" i="25"/>
  <c r="E74" i="25"/>
  <c r="G73" i="25"/>
  <c r="E73" i="25"/>
  <c r="G72" i="25"/>
  <c r="E72" i="25"/>
  <c r="G71" i="25"/>
  <c r="E71" i="25"/>
  <c r="G70" i="25"/>
  <c r="E70" i="25"/>
  <c r="G69" i="25"/>
  <c r="E69" i="25"/>
  <c r="F66" i="25"/>
  <c r="D66" i="25"/>
  <c r="E66" i="25"/>
  <c r="G65" i="25"/>
  <c r="E65" i="25"/>
  <c r="G64" i="25"/>
  <c r="E64" i="25"/>
  <c r="G63" i="25"/>
  <c r="E63" i="25"/>
  <c r="G62" i="25"/>
  <c r="E62" i="25"/>
  <c r="G61" i="25"/>
  <c r="E61" i="25"/>
  <c r="G60" i="25"/>
  <c r="E60" i="25"/>
  <c r="G59" i="25"/>
  <c r="E59" i="25"/>
  <c r="G58" i="25"/>
  <c r="E58" i="25"/>
  <c r="G57" i="25"/>
  <c r="E57" i="25"/>
  <c r="G56" i="25"/>
  <c r="E56" i="25"/>
  <c r="G55" i="25"/>
  <c r="E55" i="25"/>
  <c r="G54" i="25"/>
  <c r="E54" i="25"/>
  <c r="G53" i="25"/>
  <c r="E53" i="25"/>
  <c r="G52" i="25"/>
  <c r="E52" i="25"/>
  <c r="G51" i="25"/>
  <c r="E51" i="25"/>
  <c r="G50" i="25"/>
  <c r="E50" i="25"/>
  <c r="G49" i="25"/>
  <c r="E49" i="25"/>
  <c r="G48" i="25"/>
  <c r="E48" i="25"/>
  <c r="G47" i="25"/>
  <c r="E47" i="25"/>
  <c r="G46" i="25"/>
  <c r="E46" i="25"/>
  <c r="G45" i="25"/>
  <c r="E45" i="25"/>
  <c r="G44" i="25"/>
  <c r="E44" i="25"/>
  <c r="G43" i="25"/>
  <c r="E43" i="25"/>
  <c r="G42" i="25"/>
  <c r="E42" i="25"/>
  <c r="G41" i="25"/>
  <c r="E41" i="25"/>
  <c r="D2" i="21"/>
  <c r="C4" i="21"/>
  <c r="F38" i="25"/>
  <c r="D38" i="25"/>
  <c r="E38" i="25"/>
  <c r="E36" i="25"/>
  <c r="G36" i="25"/>
  <c r="E37" i="25"/>
  <c r="G37" i="25"/>
  <c r="G33" i="25"/>
  <c r="G34" i="25"/>
  <c r="G35" i="25"/>
  <c r="E33" i="25"/>
  <c r="E34" i="25"/>
  <c r="E35" i="25"/>
  <c r="E32" i="25"/>
  <c r="G32" i="25"/>
  <c r="E26" i="25"/>
  <c r="G26" i="25"/>
  <c r="E27" i="25"/>
  <c r="G27" i="25"/>
  <c r="E28" i="25"/>
  <c r="G28" i="25"/>
  <c r="E29" i="25"/>
  <c r="G29" i="25"/>
  <c r="E30" i="25"/>
  <c r="G30" i="25"/>
  <c r="E31" i="25"/>
  <c r="G31" i="25"/>
  <c r="E22" i="25"/>
  <c r="G22" i="25"/>
  <c r="E23" i="25"/>
  <c r="G23" i="25"/>
  <c r="G25" i="25"/>
  <c r="E25" i="25"/>
  <c r="G24" i="25"/>
  <c r="E24" i="25"/>
  <c r="G21" i="25"/>
  <c r="E21" i="25"/>
  <c r="G18" i="25"/>
  <c r="E18" i="25"/>
  <c r="G17" i="25"/>
  <c r="E17" i="25"/>
  <c r="G16" i="25"/>
  <c r="E16" i="25"/>
  <c r="G15" i="25"/>
  <c r="E15" i="25"/>
  <c r="G14" i="25"/>
  <c r="E14" i="25"/>
  <c r="G13" i="25"/>
  <c r="E13" i="25"/>
  <c r="G12" i="25"/>
  <c r="E12" i="25"/>
  <c r="F20" i="21"/>
  <c r="G177" i="26"/>
  <c r="F93" i="21"/>
  <c r="F89" i="21"/>
  <c r="F95" i="21"/>
  <c r="F86" i="21"/>
  <c r="F94" i="21"/>
  <c r="C100" i="21"/>
  <c r="D93" i="21"/>
  <c r="F91" i="21"/>
  <c r="F100" i="21"/>
  <c r="F101" i="21"/>
  <c r="F90" i="21"/>
  <c r="F10" i="21"/>
  <c r="G233" i="27"/>
  <c r="E261" i="27"/>
  <c r="G345" i="27"/>
  <c r="G121" i="27"/>
  <c r="E149" i="27"/>
  <c r="E205" i="26"/>
  <c r="G65" i="26"/>
  <c r="E93" i="26"/>
  <c r="F16" i="21"/>
  <c r="F12" i="21"/>
  <c r="F18" i="21"/>
  <c r="G38" i="25"/>
  <c r="G262" i="25"/>
  <c r="G122" i="25"/>
  <c r="G178" i="25"/>
  <c r="G346" i="25"/>
  <c r="G94" i="25"/>
  <c r="G150" i="25"/>
  <c r="G66" i="25"/>
  <c r="G206" i="25"/>
  <c r="G234" i="25"/>
  <c r="G290" i="25"/>
  <c r="G318" i="25"/>
  <c r="G37" i="27"/>
  <c r="G65" i="27"/>
  <c r="G93" i="27"/>
  <c r="G205" i="27"/>
  <c r="G317" i="27"/>
  <c r="E177" i="27"/>
  <c r="E289" i="27"/>
  <c r="G149" i="27"/>
  <c r="G261" i="27"/>
  <c r="E65" i="27"/>
  <c r="E93" i="27"/>
  <c r="E121" i="27"/>
  <c r="G177" i="27"/>
  <c r="E205" i="27"/>
  <c r="E233" i="27"/>
  <c r="G289" i="27"/>
  <c r="E317" i="27"/>
  <c r="E345" i="27"/>
  <c r="F11" i="21"/>
  <c r="F19" i="21"/>
  <c r="E37" i="26"/>
  <c r="E65" i="26"/>
  <c r="G121" i="26"/>
  <c r="E177" i="26"/>
  <c r="G37" i="26"/>
  <c r="G149" i="26"/>
  <c r="G261" i="26"/>
  <c r="E121" i="26"/>
  <c r="E233" i="26"/>
  <c r="E345" i="26"/>
  <c r="G205" i="26"/>
  <c r="G317" i="26"/>
  <c r="G345" i="26"/>
  <c r="G93" i="26"/>
  <c r="E149" i="26"/>
  <c r="G233" i="26"/>
  <c r="E261" i="26"/>
  <c r="E289" i="26"/>
  <c r="F15" i="21"/>
  <c r="C23" i="21"/>
  <c r="F23" i="21"/>
  <c r="F24" i="21"/>
  <c r="F17" i="21"/>
  <c r="F9" i="21"/>
  <c r="D89" i="21"/>
  <c r="D64" i="21"/>
  <c r="D59" i="21"/>
  <c r="D69" i="21"/>
  <c r="D66" i="21"/>
  <c r="D45" i="21"/>
  <c r="D44" i="21"/>
  <c r="D43" i="21"/>
  <c r="D40" i="21"/>
  <c r="D39" i="21"/>
  <c r="D68" i="21"/>
  <c r="D62" i="21"/>
  <c r="D60" i="21"/>
  <c r="D41" i="21"/>
  <c r="D35" i="21"/>
  <c r="D63" i="21"/>
  <c r="D34" i="21"/>
  <c r="D65" i="21"/>
  <c r="D37" i="21"/>
  <c r="D61" i="21"/>
  <c r="D70" i="21"/>
  <c r="D38" i="21"/>
  <c r="D67" i="21"/>
  <c r="D36" i="21"/>
  <c r="D42" i="21"/>
  <c r="D96" i="21"/>
  <c r="D94" i="21"/>
  <c r="D88" i="21"/>
  <c r="D97" i="21"/>
  <c r="D91" i="21"/>
  <c r="D86" i="21"/>
  <c r="D95" i="21"/>
  <c r="D90" i="21"/>
  <c r="D92" i="21"/>
  <c r="D87" i="21"/>
  <c r="D12" i="21"/>
  <c r="F73" i="21"/>
  <c r="F74" i="21"/>
  <c r="D11" i="21"/>
  <c r="D15" i="21"/>
  <c r="C73" i="21"/>
  <c r="D10" i="21"/>
  <c r="D19" i="21"/>
  <c r="D18" i="21"/>
  <c r="D9" i="21"/>
  <c r="D17" i="21"/>
  <c r="C48" i="21"/>
  <c r="F48" i="21"/>
  <c r="F49" i="21"/>
  <c r="D14" i="21"/>
  <c r="D20" i="21"/>
  <c r="D13" i="21"/>
  <c r="D16" i="21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<sst xmlns="http://schemas.openxmlformats.org/spreadsheetml/2006/main" count="479" uniqueCount="76">
  <si>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</si>
  <si>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</si>
  <si>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</si>
  <si>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</si>
  <si>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</si>
  <si>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</si>
  <si>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</si>
  <si>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</si>
  <si>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</si>
  <si>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</si>
  <si>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</si>
  <si>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</si>
  <si>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</si>
  <si>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</si>
  <si>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</si>
  <si>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</si>
  <si>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</si>
  <si>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</si>
  <si>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</si>
  <si>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</si>
  <si>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</si>
  <si>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</si>
  <si>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</si>
  <si>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</si>
  <si>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</si>
  <si>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</si>
  <si>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</si>
  <si>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</si>
  <si>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</si>
  <si>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</si>
  <si>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</si>
  <si>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</si>
  <si>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Ward Census</t>
  </si>
  <si>
    <t>ICD 10</t>
  </si>
  <si>
    <t>Month/Year:</t>
  </si>
  <si>
    <t>Total IM Admissions: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</si>
  <si>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</si>
  <si>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</si>
  <si>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</si>
  <si>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</si>
  <si>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</si>
  <si>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</si>
  <si>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</si>
  <si>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</si>
  <si>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</si>
  <si>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Months/Year</t>
  </si>
  <si>
    <t>EAST AVENUE MEDICAL CENTER</t>
  </si>
  <si>
    <t>Allergology and Immunology</t>
  </si>
  <si>
    <t>Pulmonology</t>
  </si>
  <si>
    <t>Infectious Disease</t>
  </si>
  <si>
    <t>DISPOSITON (Active/Discharged/Expired/DAMA/THOC/Absconded)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</si>
  <si>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</si>
  <si>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</si>
  <si>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</si>
  <si>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</si>
  <si>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</si>
  <si>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</si>
  <si>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</si>
  <si>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DATE</t>
  </si>
  <si>
    <t>SUBSPECIALTY</t>
  </si>
  <si>
    <t>TEAM MEMBERS</t>
  </si>
  <si>
    <t>SERVICE CONSULTANT</t>
  </si>
  <si>
    <t>TEAM</t>
  </si>
  <si>
    <t>MONTH</t>
  </si>
  <si>
    <t>January 2017</t>
  </si>
  <si>
    <t>RESIDENT</t>
  </si>
  <si>
    <t>SUPERVISOR</t>
  </si>
  <si>
    <t>PROCEDURE</t>
  </si>
  <si>
    <t>DIAGNOSIS</t>
  </si>
  <si>
    <t>HOSPITAL NUMBER</t>
  </si>
  <si>
    <t>SUBSPECIALTY  (Put an "X" for each Subspec involved)</t>
  </si>
  <si>
    <t>RESIDENT-IN-CHARGE</t>
  </si>
  <si>
    <t>TOTAL PATIENTS</t>
  </si>
  <si>
    <t>DATE DISCHARGED</t>
  </si>
  <si>
    <t>DATE ADMITTED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</si>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</sst>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3409]mmmm\ dd\,\ yyyy;@"/>
  </numFmts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17" fontId="13" fillId="2" borderId="21" xfId="0" applyNumberFormat="1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"/>
  <sheetViews>
    <sheetView workbookViewId="0">
      <selection activeCell="J7" sqref="J7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</sheetData>
  <autoFilter ref="A2:W2"/>
  <mergeCells count="2">
    <mergeCell ref="F1:G1"/>
    <mergeCell ref="L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20"/>
  <sheetViews>
    <sheetView tabSelected="1" workbookViewId="0">
      <selection activeCell="J4" sqref="J4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  <row r="3" spans="1:24" x14ac:dyDescent="0.2">
      <c r="A3" s="104"/>
      <c r="B3" s="104"/>
      <c r="C3">
        <f>B3-A3</f>
        <v>0</v>
      </c>
    </row>
    <row r="4" spans="1:24" x14ac:dyDescent="0.2">
      <c r="A4" s="104"/>
      <c r="B4" s="104"/>
      <c r="C4">
        <f t="shared" ref="C4:C20" si="0">B4-A4</f>
        <v>0</v>
      </c>
    </row>
    <row r="5" spans="1:24" x14ac:dyDescent="0.2">
      <c r="A5" s="104"/>
      <c r="B5" s="104"/>
      <c r="C5">
        <f t="shared" si="0"/>
        <v>0</v>
      </c>
    </row>
    <row r="6" spans="1:24" x14ac:dyDescent="0.2">
      <c r="A6" s="104"/>
      <c r="B6" s="104"/>
      <c r="C6">
        <f t="shared" si="0"/>
        <v>0</v>
      </c>
    </row>
    <row r="7" spans="1:24" x14ac:dyDescent="0.2">
      <c r="A7" s="104"/>
      <c r="B7" s="104"/>
      <c r="C7">
        <f t="shared" si="0"/>
        <v>0</v>
      </c>
    </row>
    <row r="8" spans="1:24" x14ac:dyDescent="0.2">
      <c r="A8" s="104"/>
      <c r="B8" s="104"/>
      <c r="C8">
        <f t="shared" si="0"/>
        <v>0</v>
      </c>
    </row>
    <row r="9" spans="1:24" x14ac:dyDescent="0.2">
      <c r="A9" s="104"/>
      <c r="B9" s="104"/>
      <c r="C9">
        <f t="shared" si="0"/>
        <v>0</v>
      </c>
    </row>
    <row r="10" spans="1:24" x14ac:dyDescent="0.2">
      <c r="A10" s="104"/>
      <c r="B10" s="104"/>
      <c r="C10">
        <f t="shared" si="0"/>
        <v>0</v>
      </c>
    </row>
    <row r="11" spans="1:24" x14ac:dyDescent="0.2">
      <c r="A11" s="104"/>
      <c r="B11" s="104"/>
      <c r="C11">
        <f t="shared" si="0"/>
        <v>0</v>
      </c>
    </row>
    <row r="12" spans="1:24" x14ac:dyDescent="0.2">
      <c r="A12" s="104"/>
      <c r="B12" s="104"/>
      <c r="C12">
        <f t="shared" si="0"/>
        <v>0</v>
      </c>
    </row>
    <row r="13" spans="1:24" x14ac:dyDescent="0.2">
      <c r="A13" s="104"/>
      <c r="B13" s="104"/>
      <c r="C13">
        <f t="shared" si="0"/>
        <v>0</v>
      </c>
    </row>
    <row r="14" spans="1:24" x14ac:dyDescent="0.2">
      <c r="A14" s="104"/>
      <c r="B14" s="104"/>
      <c r="C14">
        <f t="shared" si="0"/>
        <v>0</v>
      </c>
    </row>
    <row r="15" spans="1:24" x14ac:dyDescent="0.2">
      <c r="A15" s="104"/>
      <c r="B15" s="104"/>
      <c r="C15">
        <f t="shared" si="0"/>
        <v>0</v>
      </c>
    </row>
    <row r="16" spans="1:24" x14ac:dyDescent="0.2">
      <c r="A16" s="104"/>
      <c r="B16" s="104"/>
      <c r="C16">
        <f t="shared" si="0"/>
        <v>0</v>
      </c>
    </row>
    <row r="17" spans="1:3" x14ac:dyDescent="0.2">
      <c r="A17" s="104"/>
      <c r="B17" s="104"/>
      <c r="C17">
        <f t="shared" si="0"/>
        <v>0</v>
      </c>
    </row>
    <row r="18" spans="1:3" x14ac:dyDescent="0.2">
      <c r="A18" s="104"/>
      <c r="B18" s="104"/>
      <c r="C18">
        <f t="shared" si="0"/>
        <v>0</v>
      </c>
    </row>
    <row r="19" spans="1:3" x14ac:dyDescent="0.2">
      <c r="A19" s="104"/>
      <c r="B19" s="104"/>
      <c r="C19">
        <f t="shared" si="0"/>
        <v>0</v>
      </c>
    </row>
    <row r="20" spans="1:3" x14ac:dyDescent="0.2">
      <c r="A20" s="104"/>
      <c r="B20" s="104"/>
      <c r="C20">
        <f t="shared" si="0"/>
        <v>0</v>
      </c>
    </row>
  </sheetData>
  <autoFilter ref="A2:W2"/>
  <mergeCells count="2">
    <mergeCell ref="F1:G1"/>
    <mergeCell ref="L1:W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20"/>
  <sheetViews>
    <sheetView workbookViewId="0">
      <selection activeCell="J6" sqref="J6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  <row r="3" spans="1:24" x14ac:dyDescent="0.2">
      <c r="A3" s="104"/>
      <c r="B3" s="104"/>
      <c r="C3">
        <f>B3-A3</f>
        <v>0</v>
      </c>
    </row>
    <row r="4" spans="1:24" x14ac:dyDescent="0.2">
      <c r="A4" s="104"/>
      <c r="B4" s="104"/>
      <c r="C4">
        <f t="shared" ref="C4:C20" si="0">B4-A4</f>
        <v>0</v>
      </c>
    </row>
    <row r="5" spans="1:24" x14ac:dyDescent="0.2">
      <c r="A5" s="104"/>
      <c r="B5" s="104"/>
      <c r="C5">
        <f t="shared" si="0"/>
        <v>0</v>
      </c>
    </row>
    <row r="6" spans="1:24" x14ac:dyDescent="0.2">
      <c r="A6" s="104"/>
      <c r="B6" s="104"/>
      <c r="C6">
        <f t="shared" si="0"/>
        <v>0</v>
      </c>
    </row>
    <row r="7" spans="1:24" x14ac:dyDescent="0.2">
      <c r="A7" s="104"/>
      <c r="B7" s="104"/>
      <c r="C7">
        <f t="shared" si="0"/>
        <v>0</v>
      </c>
    </row>
    <row r="8" spans="1:24" x14ac:dyDescent="0.2">
      <c r="A8" s="104"/>
      <c r="B8" s="104"/>
      <c r="C8">
        <f t="shared" si="0"/>
        <v>0</v>
      </c>
    </row>
    <row r="9" spans="1:24" x14ac:dyDescent="0.2">
      <c r="A9" s="104"/>
      <c r="B9" s="104"/>
      <c r="C9">
        <f t="shared" si="0"/>
        <v>0</v>
      </c>
    </row>
    <row r="10" spans="1:24" x14ac:dyDescent="0.2">
      <c r="A10" s="104"/>
      <c r="B10" s="104"/>
      <c r="C10">
        <f t="shared" si="0"/>
        <v>0</v>
      </c>
    </row>
    <row r="11" spans="1:24" x14ac:dyDescent="0.2">
      <c r="A11" s="104"/>
      <c r="B11" s="104"/>
      <c r="C11">
        <f t="shared" si="0"/>
        <v>0</v>
      </c>
    </row>
    <row r="12" spans="1:24" x14ac:dyDescent="0.2">
      <c r="A12" s="104"/>
      <c r="B12" s="104"/>
      <c r="C12">
        <f t="shared" si="0"/>
        <v>0</v>
      </c>
    </row>
    <row r="13" spans="1:24" x14ac:dyDescent="0.2">
      <c r="A13" s="104"/>
      <c r="B13" s="104"/>
      <c r="C13">
        <f t="shared" si="0"/>
        <v>0</v>
      </c>
    </row>
    <row r="14" spans="1:24" x14ac:dyDescent="0.2">
      <c r="A14" s="104"/>
      <c r="B14" s="104"/>
      <c r="C14">
        <f t="shared" si="0"/>
        <v>0</v>
      </c>
    </row>
    <row r="15" spans="1:24" x14ac:dyDescent="0.2">
      <c r="A15" s="104"/>
      <c r="B15" s="104"/>
      <c r="C15">
        <f t="shared" si="0"/>
        <v>0</v>
      </c>
    </row>
    <row r="16" spans="1:24" x14ac:dyDescent="0.2">
      <c r="A16" s="104"/>
      <c r="B16" s="104"/>
      <c r="C16">
        <f t="shared" si="0"/>
        <v>0</v>
      </c>
    </row>
    <row r="17" spans="1:3" x14ac:dyDescent="0.2">
      <c r="A17" s="104"/>
      <c r="B17" s="104"/>
      <c r="C17">
        <f t="shared" si="0"/>
        <v>0</v>
      </c>
    </row>
    <row r="18" spans="1:3" x14ac:dyDescent="0.2">
      <c r="A18" s="104"/>
      <c r="B18" s="104"/>
      <c r="C18">
        <f t="shared" si="0"/>
        <v>0</v>
      </c>
    </row>
    <row r="19" spans="1:3" x14ac:dyDescent="0.2">
      <c r="A19" s="104"/>
      <c r="B19" s="104"/>
      <c r="C19">
        <f t="shared" si="0"/>
        <v>0</v>
      </c>
    </row>
    <row r="20" spans="1:3" x14ac:dyDescent="0.2">
      <c r="A20" s="104"/>
      <c r="B20" s="104"/>
      <c r="C20">
        <f t="shared" si="0"/>
        <v>0</v>
      </c>
    </row>
  </sheetData>
  <autoFilter ref="A2:W2"/>
  <mergeCells count="2">
    <mergeCell ref="F1:G1"/>
    <mergeCell ref="L1:W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"/>
  <sheetViews>
    <sheetView workbookViewId="0">
      <selection activeCell="I13" sqref="I13"/>
    </sheetView>
  </sheetViews>
  <sheetFormatPr defaultColWidth="8.85546875" defaultRowHeight="12.75" x14ac:dyDescent="0.2"/>
  <cols>
    <col min="1" max="1" width="8.85546875" style="100"/>
    <col min="2" max="2" width="17.7109375" style="100" customWidth="1"/>
    <col min="3" max="3" width="18.7109375" style="100" customWidth="1"/>
    <col min="4" max="4" width="5.5703125" style="100" customWidth="1"/>
    <col min="5" max="5" width="4.7109375" style="100" customWidth="1"/>
    <col min="6" max="6" width="35.42578125" style="100" customWidth="1"/>
    <col min="7" max="7" width="28.7109375" style="100" customWidth="1"/>
    <col min="8" max="8" width="18" style="100" customWidth="1"/>
    <col min="9" max="9" width="19" style="100" customWidth="1"/>
    <col min="10" max="16384" width="8.85546875" style="100"/>
  </cols>
  <sheetData>
    <row r="1" spans="1:21" ht="13.5" thickBot="1" x14ac:dyDescent="0.25">
      <c r="A1" s="100" t="s">
        <v>63</v>
      </c>
      <c r="J1" s="107" t="s">
        <v>70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</row>
    <row r="2" spans="1:21" s="101" customFormat="1" ht="51.75" thickBot="1" x14ac:dyDescent="0.25">
      <c r="A2" s="101" t="s">
        <v>58</v>
      </c>
      <c r="B2" s="101" t="s">
        <v>69</v>
      </c>
      <c r="C2" s="101" t="s">
        <v>56</v>
      </c>
      <c r="D2" s="101" t="s">
        <v>55</v>
      </c>
      <c r="E2" s="101" t="s">
        <v>54</v>
      </c>
      <c r="F2" s="101" t="s">
        <v>68</v>
      </c>
      <c r="G2" s="101" t="s">
        <v>67</v>
      </c>
      <c r="H2" s="101" t="s">
        <v>66</v>
      </c>
      <c r="I2" s="101" t="s">
        <v>65</v>
      </c>
      <c r="J2" s="95" t="s">
        <v>8</v>
      </c>
      <c r="K2" s="94" t="s">
        <v>49</v>
      </c>
      <c r="L2" s="94" t="s">
        <v>48</v>
      </c>
      <c r="M2" s="94" t="s">
        <v>3</v>
      </c>
      <c r="N2" s="94" t="s">
        <v>10</v>
      </c>
      <c r="O2" s="94" t="s">
        <v>37</v>
      </c>
      <c r="P2" s="94" t="s">
        <v>6</v>
      </c>
      <c r="Q2" s="94" t="s">
        <v>9</v>
      </c>
      <c r="R2" s="93" t="s">
        <v>5</v>
      </c>
      <c r="S2" s="92" t="s">
        <v>4</v>
      </c>
      <c r="T2" s="91" t="s">
        <v>2</v>
      </c>
      <c r="U2" s="90" t="s">
        <v>47</v>
      </c>
    </row>
  </sheetData>
  <autoFilter ref="A2:U2"/>
  <mergeCells count="1">
    <mergeCell ref="J1:U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50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8" t="s">
        <v>32</v>
      </c>
      <c r="D4" s="108"/>
      <c r="E4" s="108"/>
      <c r="F4" s="108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09" t="s">
        <v>64</v>
      </c>
      <c r="D7" s="109"/>
      <c r="E7" s="109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COUNTA('WARD-JAN'!E3:E1048576)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 x14ac:dyDescent="0.2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 x14ac:dyDescent="0.2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 x14ac:dyDescent="0.2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 x14ac:dyDescent="0.2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 x14ac:dyDescent="0.2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 x14ac:dyDescent="0.2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 x14ac:dyDescent="0.2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 x14ac:dyDescent="0.25">
      <c r="D39" s="34"/>
      <c r="E39" s="35"/>
      <c r="F39" s="36"/>
      <c r="G39" s="35"/>
    </row>
    <row r="40" spans="1:7" s="17" customFormat="1" ht="60" customHeight="1" thickBot="1" x14ac:dyDescent="0.25">
      <c r="B40" s="13" t="s">
        <v>19</v>
      </c>
      <c r="C40" s="13" t="s">
        <v>33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 x14ac:dyDescent="0.2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 x14ac:dyDescent="0.2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 x14ac:dyDescent="0.2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 x14ac:dyDescent="0.2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 x14ac:dyDescent="0.2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 x14ac:dyDescent="0.2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 x14ac:dyDescent="0.2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 x14ac:dyDescent="0.2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 x14ac:dyDescent="0.2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 x14ac:dyDescent="0.2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 x14ac:dyDescent="0.2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 x14ac:dyDescent="0.2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 x14ac:dyDescent="0.2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 x14ac:dyDescent="0.2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 x14ac:dyDescent="0.2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 x14ac:dyDescent="0.2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 x14ac:dyDescent="0.2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 x14ac:dyDescent="0.2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 x14ac:dyDescent="0.2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 x14ac:dyDescent="0.2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 x14ac:dyDescent="0.2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 x14ac:dyDescent="0.2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 x14ac:dyDescent="0.2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 x14ac:dyDescent="0.2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 x14ac:dyDescent="0.2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 x14ac:dyDescent="0.25">
      <c r="B67" s="37"/>
      <c r="C67" s="37"/>
      <c r="D67" s="38"/>
      <c r="E67" s="35"/>
      <c r="F67" s="37"/>
      <c r="G67" s="35"/>
    </row>
    <row r="68" spans="1:7" s="17" customFormat="1" ht="60" customHeight="1" thickBot="1" x14ac:dyDescent="0.25">
      <c r="B68" s="13" t="s">
        <v>44</v>
      </c>
      <c r="C68" s="13" t="s">
        <v>33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 x14ac:dyDescent="0.2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 x14ac:dyDescent="0.2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 x14ac:dyDescent="0.2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 x14ac:dyDescent="0.2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 x14ac:dyDescent="0.2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 x14ac:dyDescent="0.2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 x14ac:dyDescent="0.2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 x14ac:dyDescent="0.2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 x14ac:dyDescent="0.2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 x14ac:dyDescent="0.2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 x14ac:dyDescent="0.2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 x14ac:dyDescent="0.2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 x14ac:dyDescent="0.2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 x14ac:dyDescent="0.2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 x14ac:dyDescent="0.2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 x14ac:dyDescent="0.2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 x14ac:dyDescent="0.2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 x14ac:dyDescent="0.2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 x14ac:dyDescent="0.2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 x14ac:dyDescent="0.2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 x14ac:dyDescent="0.2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 x14ac:dyDescent="0.2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 x14ac:dyDescent="0.2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 x14ac:dyDescent="0.2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 x14ac:dyDescent="0.2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 x14ac:dyDescent="0.2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 x14ac:dyDescent="0.25">
      <c r="B95" s="37"/>
      <c r="C95" s="37"/>
      <c r="D95" s="38"/>
      <c r="E95" s="35"/>
      <c r="F95" s="37"/>
      <c r="G95" s="35"/>
    </row>
    <row r="96" spans="1:7" s="17" customFormat="1" ht="60" customHeight="1" thickBot="1" x14ac:dyDescent="0.25">
      <c r="B96" s="13" t="s">
        <v>15</v>
      </c>
      <c r="C96" s="13" t="s">
        <v>33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 x14ac:dyDescent="0.2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 x14ac:dyDescent="0.2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 x14ac:dyDescent="0.2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 x14ac:dyDescent="0.2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 x14ac:dyDescent="0.2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 x14ac:dyDescent="0.2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 x14ac:dyDescent="0.2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 x14ac:dyDescent="0.2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 x14ac:dyDescent="0.2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 x14ac:dyDescent="0.2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 x14ac:dyDescent="0.2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 x14ac:dyDescent="0.2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 x14ac:dyDescent="0.2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 x14ac:dyDescent="0.2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 x14ac:dyDescent="0.2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 x14ac:dyDescent="0.2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 x14ac:dyDescent="0.2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 x14ac:dyDescent="0.2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 x14ac:dyDescent="0.2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 x14ac:dyDescent="0.2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 x14ac:dyDescent="0.2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 x14ac:dyDescent="0.2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 x14ac:dyDescent="0.2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 x14ac:dyDescent="0.2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 x14ac:dyDescent="0.2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 x14ac:dyDescent="0.25">
      <c r="B123" s="42"/>
      <c r="C123" s="42"/>
      <c r="D123" s="43"/>
      <c r="E123" s="43"/>
      <c r="F123" s="43"/>
      <c r="G123" s="43"/>
    </row>
    <row r="124" spans="1:7" s="17" customFormat="1" ht="60" customHeight="1" thickBot="1" x14ac:dyDescent="0.25">
      <c r="B124" s="13" t="s">
        <v>22</v>
      </c>
      <c r="C124" s="13" t="s">
        <v>33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 x14ac:dyDescent="0.2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 x14ac:dyDescent="0.2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 x14ac:dyDescent="0.2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 x14ac:dyDescent="0.2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 x14ac:dyDescent="0.2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 x14ac:dyDescent="0.2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 x14ac:dyDescent="0.2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 x14ac:dyDescent="0.2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 x14ac:dyDescent="0.2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 x14ac:dyDescent="0.2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 x14ac:dyDescent="0.2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 x14ac:dyDescent="0.2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 x14ac:dyDescent="0.2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 x14ac:dyDescent="0.2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 x14ac:dyDescent="0.2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 x14ac:dyDescent="0.2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 x14ac:dyDescent="0.2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 x14ac:dyDescent="0.2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 x14ac:dyDescent="0.2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 x14ac:dyDescent="0.2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 x14ac:dyDescent="0.2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 x14ac:dyDescent="0.2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 x14ac:dyDescent="0.2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 x14ac:dyDescent="0.2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 x14ac:dyDescent="0.2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 x14ac:dyDescent="0.25">
      <c r="B151" s="44"/>
      <c r="C151" s="44"/>
      <c r="D151" s="38"/>
      <c r="E151" s="35"/>
      <c r="F151" s="37"/>
      <c r="G151" s="35"/>
    </row>
    <row r="152" spans="1:7" s="17" customFormat="1" ht="60" customHeight="1" thickBot="1" x14ac:dyDescent="0.25">
      <c r="B152" s="13" t="s">
        <v>41</v>
      </c>
      <c r="C152" s="13" t="s">
        <v>33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 x14ac:dyDescent="0.2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 x14ac:dyDescent="0.2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 x14ac:dyDescent="0.2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 x14ac:dyDescent="0.2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 x14ac:dyDescent="0.2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 x14ac:dyDescent="0.2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 x14ac:dyDescent="0.2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 x14ac:dyDescent="0.2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 x14ac:dyDescent="0.2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 x14ac:dyDescent="0.2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 x14ac:dyDescent="0.2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 x14ac:dyDescent="0.2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 x14ac:dyDescent="0.2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 x14ac:dyDescent="0.2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 x14ac:dyDescent="0.2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 x14ac:dyDescent="0.2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 x14ac:dyDescent="0.2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 x14ac:dyDescent="0.2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 x14ac:dyDescent="0.2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 x14ac:dyDescent="0.2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 x14ac:dyDescent="0.2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 x14ac:dyDescent="0.2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 x14ac:dyDescent="0.2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 x14ac:dyDescent="0.2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 x14ac:dyDescent="0.2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 x14ac:dyDescent="0.25">
      <c r="B179" s="45"/>
      <c r="C179" s="45"/>
      <c r="D179" s="46"/>
      <c r="E179" s="47"/>
      <c r="F179" s="46"/>
      <c r="G179" s="47"/>
    </row>
    <row r="180" spans="1:7" s="17" customFormat="1" ht="60" customHeight="1" thickBot="1" x14ac:dyDescent="0.25">
      <c r="B180" s="13" t="s">
        <v>18</v>
      </c>
      <c r="C180" s="13" t="s">
        <v>33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 x14ac:dyDescent="0.2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 x14ac:dyDescent="0.2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 x14ac:dyDescent="0.2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 x14ac:dyDescent="0.2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 x14ac:dyDescent="0.2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 x14ac:dyDescent="0.2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 x14ac:dyDescent="0.2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 x14ac:dyDescent="0.2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 x14ac:dyDescent="0.2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 x14ac:dyDescent="0.2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 x14ac:dyDescent="0.2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 x14ac:dyDescent="0.2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 x14ac:dyDescent="0.2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 x14ac:dyDescent="0.2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 x14ac:dyDescent="0.2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 x14ac:dyDescent="0.2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 x14ac:dyDescent="0.2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 x14ac:dyDescent="0.2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 x14ac:dyDescent="0.2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 x14ac:dyDescent="0.2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 x14ac:dyDescent="0.2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 x14ac:dyDescent="0.2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 x14ac:dyDescent="0.2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 x14ac:dyDescent="0.2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 x14ac:dyDescent="0.2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 x14ac:dyDescent="0.25">
      <c r="B207" s="45"/>
      <c r="C207" s="45"/>
      <c r="D207" s="46"/>
      <c r="E207" s="47"/>
      <c r="F207" s="46"/>
      <c r="G207" s="47"/>
    </row>
    <row r="208" spans="1:7" s="17" customFormat="1" ht="60" customHeight="1" thickBot="1" x14ac:dyDescent="0.25">
      <c r="B208" s="13" t="s">
        <v>21</v>
      </c>
      <c r="C208" s="13" t="s">
        <v>33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 x14ac:dyDescent="0.2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 x14ac:dyDescent="0.2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 x14ac:dyDescent="0.2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 x14ac:dyDescent="0.2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 x14ac:dyDescent="0.2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 x14ac:dyDescent="0.2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 x14ac:dyDescent="0.2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 x14ac:dyDescent="0.2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 x14ac:dyDescent="0.2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 x14ac:dyDescent="0.2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 x14ac:dyDescent="0.2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 x14ac:dyDescent="0.2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 x14ac:dyDescent="0.2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 x14ac:dyDescent="0.2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 x14ac:dyDescent="0.2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 x14ac:dyDescent="0.2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 x14ac:dyDescent="0.2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 x14ac:dyDescent="0.2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 x14ac:dyDescent="0.2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 x14ac:dyDescent="0.2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 x14ac:dyDescent="0.2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 x14ac:dyDescent="0.2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 x14ac:dyDescent="0.2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 x14ac:dyDescent="0.2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 x14ac:dyDescent="0.2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 x14ac:dyDescent="0.25">
      <c r="B235" s="45"/>
      <c r="C235" s="45"/>
      <c r="D235" s="46"/>
      <c r="E235" s="47"/>
      <c r="F235" s="46"/>
      <c r="G235" s="47"/>
    </row>
    <row r="236" spans="1:7" s="17" customFormat="1" ht="60" customHeight="1" thickBot="1" x14ac:dyDescent="0.25">
      <c r="B236" s="13" t="s">
        <v>17</v>
      </c>
      <c r="C236" s="13" t="s">
        <v>33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 x14ac:dyDescent="0.2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 x14ac:dyDescent="0.2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 x14ac:dyDescent="0.2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 x14ac:dyDescent="0.2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 x14ac:dyDescent="0.2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 x14ac:dyDescent="0.2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 x14ac:dyDescent="0.2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 x14ac:dyDescent="0.2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 x14ac:dyDescent="0.2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 x14ac:dyDescent="0.2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 x14ac:dyDescent="0.2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 x14ac:dyDescent="0.2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 x14ac:dyDescent="0.2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 x14ac:dyDescent="0.2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 x14ac:dyDescent="0.2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 x14ac:dyDescent="0.2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 x14ac:dyDescent="0.2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 x14ac:dyDescent="0.2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 x14ac:dyDescent="0.2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 x14ac:dyDescent="0.2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 x14ac:dyDescent="0.2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 x14ac:dyDescent="0.2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 x14ac:dyDescent="0.2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 x14ac:dyDescent="0.2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 x14ac:dyDescent="0.2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 x14ac:dyDescent="0.25">
      <c r="B263" s="44"/>
      <c r="C263" s="44"/>
      <c r="D263" s="46"/>
      <c r="E263" s="47"/>
      <c r="F263" s="46"/>
      <c r="G263" s="47"/>
    </row>
    <row r="264" spans="1:7" s="17" customFormat="1" ht="60" customHeight="1" thickBot="1" x14ac:dyDescent="0.25">
      <c r="B264" s="13" t="s">
        <v>16</v>
      </c>
      <c r="C264" s="13" t="s">
        <v>33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 x14ac:dyDescent="0.2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 x14ac:dyDescent="0.2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 x14ac:dyDescent="0.2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 x14ac:dyDescent="0.2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 x14ac:dyDescent="0.2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 x14ac:dyDescent="0.2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 x14ac:dyDescent="0.2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 x14ac:dyDescent="0.2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 x14ac:dyDescent="0.2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 x14ac:dyDescent="0.2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 x14ac:dyDescent="0.2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 x14ac:dyDescent="0.2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 x14ac:dyDescent="0.2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 x14ac:dyDescent="0.2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 x14ac:dyDescent="0.2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 x14ac:dyDescent="0.2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 x14ac:dyDescent="0.2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 x14ac:dyDescent="0.2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 x14ac:dyDescent="0.2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 x14ac:dyDescent="0.2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 x14ac:dyDescent="0.2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 x14ac:dyDescent="0.2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 x14ac:dyDescent="0.2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 x14ac:dyDescent="0.2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 x14ac:dyDescent="0.2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 x14ac:dyDescent="0.25">
      <c r="B291" s="45"/>
      <c r="C291" s="45"/>
      <c r="D291" s="46"/>
      <c r="E291" s="47"/>
      <c r="F291" s="46"/>
      <c r="G291" s="47"/>
    </row>
    <row r="292" spans="1:7" s="17" customFormat="1" ht="60" customHeight="1" thickBot="1" x14ac:dyDescent="0.25">
      <c r="B292" s="13" t="s">
        <v>14</v>
      </c>
      <c r="C292" s="13" t="s">
        <v>33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 x14ac:dyDescent="0.2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 x14ac:dyDescent="0.2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 x14ac:dyDescent="0.2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 x14ac:dyDescent="0.2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 x14ac:dyDescent="0.2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 x14ac:dyDescent="0.2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 x14ac:dyDescent="0.2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 x14ac:dyDescent="0.2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 x14ac:dyDescent="0.2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 x14ac:dyDescent="0.2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 x14ac:dyDescent="0.2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 x14ac:dyDescent="0.2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 x14ac:dyDescent="0.2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 x14ac:dyDescent="0.2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 x14ac:dyDescent="0.2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 x14ac:dyDescent="0.2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 x14ac:dyDescent="0.2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 x14ac:dyDescent="0.2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 x14ac:dyDescent="0.2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 x14ac:dyDescent="0.2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 x14ac:dyDescent="0.2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 x14ac:dyDescent="0.2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 x14ac:dyDescent="0.2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 x14ac:dyDescent="0.2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 x14ac:dyDescent="0.2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 x14ac:dyDescent="0.25">
      <c r="B319" s="45"/>
      <c r="C319" s="45"/>
      <c r="D319" s="46"/>
      <c r="E319" s="47"/>
      <c r="F319" s="46"/>
      <c r="G319" s="47"/>
    </row>
    <row r="320" spans="1:7" s="7" customFormat="1" ht="60" customHeight="1" thickBot="1" x14ac:dyDescent="0.25">
      <c r="B320" s="13" t="s">
        <v>42</v>
      </c>
      <c r="C320" s="13" t="s">
        <v>33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 x14ac:dyDescent="0.2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 x14ac:dyDescent="0.2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 x14ac:dyDescent="0.2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 x14ac:dyDescent="0.2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 x14ac:dyDescent="0.2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 x14ac:dyDescent="0.2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 x14ac:dyDescent="0.2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 x14ac:dyDescent="0.2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 x14ac:dyDescent="0.2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 x14ac:dyDescent="0.2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 x14ac:dyDescent="0.2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 x14ac:dyDescent="0.2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 x14ac:dyDescent="0.2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 x14ac:dyDescent="0.2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 x14ac:dyDescent="0.2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 x14ac:dyDescent="0.2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 x14ac:dyDescent="0.2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 x14ac:dyDescent="0.2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 x14ac:dyDescent="0.2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 x14ac:dyDescent="0.2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 x14ac:dyDescent="0.2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 x14ac:dyDescent="0.2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 x14ac:dyDescent="0.2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 x14ac:dyDescent="0.2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 x14ac:dyDescent="0.2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  <row r="350" spans="1:7" x14ac:dyDescent="0.2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E-4A1F1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49"/>
  <sheetViews>
    <sheetView view="pageBreakPreview" zoomScaleNormal="100" workbookViewId="0">
      <selection activeCell="D9" sqref="C9:D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10" t="s">
        <v>32</v>
      </c>
      <c r="D4" s="110"/>
      <c r="E4" s="110"/>
      <c r="F4" s="110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11">
        <v>42767</v>
      </c>
      <c r="D7" s="112"/>
      <c r="E7" s="112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COUNTA('WARD-FEB'!E3:E1048576)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 x14ac:dyDescent="0.2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 x14ac:dyDescent="0.2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 x14ac:dyDescent="0.2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 x14ac:dyDescent="0.2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 x14ac:dyDescent="0.2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 x14ac:dyDescent="0.2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 x14ac:dyDescent="0.2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 x14ac:dyDescent="0.2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 x14ac:dyDescent="0.2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 x14ac:dyDescent="0.2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 x14ac:dyDescent="0.2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 x14ac:dyDescent="0.2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 x14ac:dyDescent="0.2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 x14ac:dyDescent="0.2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 x14ac:dyDescent="0.2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 x14ac:dyDescent="0.2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 x14ac:dyDescent="0.2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 x14ac:dyDescent="0.2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 x14ac:dyDescent="0.2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 x14ac:dyDescent="0.2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 x14ac:dyDescent="0.2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 x14ac:dyDescent="0.2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 x14ac:dyDescent="0.2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 x14ac:dyDescent="0.2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 x14ac:dyDescent="0.2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 x14ac:dyDescent="0.2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 x14ac:dyDescent="0.2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 x14ac:dyDescent="0.2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 x14ac:dyDescent="0.2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 x14ac:dyDescent="0.2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 x14ac:dyDescent="0.2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 x14ac:dyDescent="0.2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 x14ac:dyDescent="0.2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 x14ac:dyDescent="0.2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 x14ac:dyDescent="0.2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 x14ac:dyDescent="0.2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 x14ac:dyDescent="0.2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 x14ac:dyDescent="0.2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 x14ac:dyDescent="0.2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 x14ac:dyDescent="0.2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 x14ac:dyDescent="0.2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 x14ac:dyDescent="0.2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 x14ac:dyDescent="0.2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 x14ac:dyDescent="0.2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 x14ac:dyDescent="0.2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 x14ac:dyDescent="0.2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 x14ac:dyDescent="0.2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 x14ac:dyDescent="0.2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 x14ac:dyDescent="0.2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 x14ac:dyDescent="0.2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 x14ac:dyDescent="0.2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 x14ac:dyDescent="0.2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 x14ac:dyDescent="0.2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 x14ac:dyDescent="0.2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 x14ac:dyDescent="0.2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 x14ac:dyDescent="0.2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 x14ac:dyDescent="0.2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 x14ac:dyDescent="0.2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 x14ac:dyDescent="0.2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 x14ac:dyDescent="0.2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 x14ac:dyDescent="0.2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 x14ac:dyDescent="0.2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 x14ac:dyDescent="0.2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 x14ac:dyDescent="0.2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 x14ac:dyDescent="0.2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 x14ac:dyDescent="0.2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 x14ac:dyDescent="0.2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 x14ac:dyDescent="0.2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 x14ac:dyDescent="0.2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 x14ac:dyDescent="0.2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 x14ac:dyDescent="0.2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 x14ac:dyDescent="0.2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 x14ac:dyDescent="0.2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 x14ac:dyDescent="0.2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 x14ac:dyDescent="0.2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 x14ac:dyDescent="0.2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 x14ac:dyDescent="0.2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 x14ac:dyDescent="0.2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 x14ac:dyDescent="0.2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 x14ac:dyDescent="0.2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 x14ac:dyDescent="0.2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 x14ac:dyDescent="0.2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 x14ac:dyDescent="0.2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 x14ac:dyDescent="0.2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 x14ac:dyDescent="0.2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 x14ac:dyDescent="0.2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 x14ac:dyDescent="0.2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 x14ac:dyDescent="0.2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 x14ac:dyDescent="0.2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 x14ac:dyDescent="0.2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 x14ac:dyDescent="0.2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 x14ac:dyDescent="0.2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 x14ac:dyDescent="0.2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 x14ac:dyDescent="0.2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 x14ac:dyDescent="0.2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 x14ac:dyDescent="0.2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 x14ac:dyDescent="0.2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 x14ac:dyDescent="0.2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 x14ac:dyDescent="0.2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 x14ac:dyDescent="0.2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 x14ac:dyDescent="0.2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 x14ac:dyDescent="0.2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 x14ac:dyDescent="0.2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 x14ac:dyDescent="0.2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 x14ac:dyDescent="0.2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 x14ac:dyDescent="0.2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 x14ac:dyDescent="0.2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 x14ac:dyDescent="0.2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 x14ac:dyDescent="0.2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 x14ac:dyDescent="0.2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 x14ac:dyDescent="0.2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 x14ac:dyDescent="0.2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 x14ac:dyDescent="0.2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 x14ac:dyDescent="0.2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 x14ac:dyDescent="0.2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 x14ac:dyDescent="0.2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 x14ac:dyDescent="0.2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 x14ac:dyDescent="0.2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 x14ac:dyDescent="0.2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 x14ac:dyDescent="0.2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 x14ac:dyDescent="0.2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 x14ac:dyDescent="0.2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 x14ac:dyDescent="0.2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 x14ac:dyDescent="0.2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 x14ac:dyDescent="0.2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 x14ac:dyDescent="0.2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 x14ac:dyDescent="0.2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 x14ac:dyDescent="0.2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 x14ac:dyDescent="0.2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 x14ac:dyDescent="0.2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 x14ac:dyDescent="0.2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 x14ac:dyDescent="0.2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 x14ac:dyDescent="0.2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 x14ac:dyDescent="0.2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 x14ac:dyDescent="0.2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 x14ac:dyDescent="0.2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 x14ac:dyDescent="0.2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 x14ac:dyDescent="0.2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 x14ac:dyDescent="0.2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 x14ac:dyDescent="0.2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 x14ac:dyDescent="0.2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 x14ac:dyDescent="0.2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 x14ac:dyDescent="0.2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 x14ac:dyDescent="0.2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 x14ac:dyDescent="0.2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 x14ac:dyDescent="0.2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 x14ac:dyDescent="0.2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 x14ac:dyDescent="0.2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 x14ac:dyDescent="0.2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 x14ac:dyDescent="0.2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 x14ac:dyDescent="0.2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 x14ac:dyDescent="0.2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 x14ac:dyDescent="0.2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 x14ac:dyDescent="0.2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 x14ac:dyDescent="0.2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 x14ac:dyDescent="0.2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 x14ac:dyDescent="0.2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 x14ac:dyDescent="0.2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 x14ac:dyDescent="0.2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 x14ac:dyDescent="0.2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 x14ac:dyDescent="0.2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 x14ac:dyDescent="0.2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 x14ac:dyDescent="0.2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 x14ac:dyDescent="0.2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 x14ac:dyDescent="0.2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 x14ac:dyDescent="0.2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 x14ac:dyDescent="0.2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 x14ac:dyDescent="0.2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 x14ac:dyDescent="0.2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 x14ac:dyDescent="0.2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 x14ac:dyDescent="0.2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 x14ac:dyDescent="0.2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 x14ac:dyDescent="0.2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 x14ac:dyDescent="0.2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 x14ac:dyDescent="0.2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 x14ac:dyDescent="0.2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 x14ac:dyDescent="0.2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 x14ac:dyDescent="0.2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 x14ac:dyDescent="0.2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 x14ac:dyDescent="0.2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 x14ac:dyDescent="0.2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 x14ac:dyDescent="0.2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 x14ac:dyDescent="0.2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 x14ac:dyDescent="0.2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 x14ac:dyDescent="0.2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 x14ac:dyDescent="0.2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 x14ac:dyDescent="0.2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 x14ac:dyDescent="0.2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 x14ac:dyDescent="0.2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 x14ac:dyDescent="0.2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 x14ac:dyDescent="0.2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 x14ac:dyDescent="0.2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 x14ac:dyDescent="0.2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 x14ac:dyDescent="0.2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 x14ac:dyDescent="0.2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 x14ac:dyDescent="0.2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 x14ac:dyDescent="0.2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 x14ac:dyDescent="0.2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 x14ac:dyDescent="0.2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 x14ac:dyDescent="0.2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 x14ac:dyDescent="0.2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 x14ac:dyDescent="0.2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 x14ac:dyDescent="0.2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 x14ac:dyDescent="0.2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 x14ac:dyDescent="0.2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10" t="s">
        <v>32</v>
      </c>
      <c r="D4" s="110"/>
      <c r="E4" s="110"/>
      <c r="F4" s="110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11">
        <v>42795</v>
      </c>
      <c r="D7" s="112"/>
      <c r="E7" s="112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COUNTA('WARD-MARCH'!E3:E1048576)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 x14ac:dyDescent="0.2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 x14ac:dyDescent="0.2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A67" s="2"/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 x14ac:dyDescent="0.2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 x14ac:dyDescent="0.2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 x14ac:dyDescent="0.2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 x14ac:dyDescent="0.2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 x14ac:dyDescent="0.2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 x14ac:dyDescent="0.2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 x14ac:dyDescent="0.2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 x14ac:dyDescent="0.2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 x14ac:dyDescent="0.2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 x14ac:dyDescent="0.2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 x14ac:dyDescent="0.2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 x14ac:dyDescent="0.2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 x14ac:dyDescent="0.2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 x14ac:dyDescent="0.2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 x14ac:dyDescent="0.2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 x14ac:dyDescent="0.2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 x14ac:dyDescent="0.2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 x14ac:dyDescent="0.2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 x14ac:dyDescent="0.2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 x14ac:dyDescent="0.2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 x14ac:dyDescent="0.2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 x14ac:dyDescent="0.2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 x14ac:dyDescent="0.2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A95" s="2"/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 x14ac:dyDescent="0.2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 x14ac:dyDescent="0.2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 x14ac:dyDescent="0.2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 x14ac:dyDescent="0.2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 x14ac:dyDescent="0.2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 x14ac:dyDescent="0.2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 x14ac:dyDescent="0.2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 x14ac:dyDescent="0.2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 x14ac:dyDescent="0.2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 x14ac:dyDescent="0.2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 x14ac:dyDescent="0.2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 x14ac:dyDescent="0.2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 x14ac:dyDescent="0.2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 x14ac:dyDescent="0.2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 x14ac:dyDescent="0.2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 x14ac:dyDescent="0.2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 x14ac:dyDescent="0.2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 x14ac:dyDescent="0.2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 x14ac:dyDescent="0.2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 x14ac:dyDescent="0.2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A123" s="2"/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 x14ac:dyDescent="0.2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 x14ac:dyDescent="0.2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 x14ac:dyDescent="0.2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 x14ac:dyDescent="0.2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 x14ac:dyDescent="0.2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 x14ac:dyDescent="0.2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 x14ac:dyDescent="0.2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 x14ac:dyDescent="0.2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 x14ac:dyDescent="0.2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 x14ac:dyDescent="0.2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 x14ac:dyDescent="0.2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 x14ac:dyDescent="0.2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 x14ac:dyDescent="0.2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 x14ac:dyDescent="0.2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 x14ac:dyDescent="0.2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 x14ac:dyDescent="0.2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 x14ac:dyDescent="0.2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 x14ac:dyDescent="0.2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 x14ac:dyDescent="0.2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 x14ac:dyDescent="0.2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A151" s="2"/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 x14ac:dyDescent="0.2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 x14ac:dyDescent="0.2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 x14ac:dyDescent="0.2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 x14ac:dyDescent="0.2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 x14ac:dyDescent="0.2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 x14ac:dyDescent="0.2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 x14ac:dyDescent="0.2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 x14ac:dyDescent="0.2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 x14ac:dyDescent="0.2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 x14ac:dyDescent="0.2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 x14ac:dyDescent="0.2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 x14ac:dyDescent="0.2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 x14ac:dyDescent="0.2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 x14ac:dyDescent="0.2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 x14ac:dyDescent="0.2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 x14ac:dyDescent="0.2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 x14ac:dyDescent="0.2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 x14ac:dyDescent="0.2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 x14ac:dyDescent="0.2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 x14ac:dyDescent="0.2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A179" s="2"/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 x14ac:dyDescent="0.2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 x14ac:dyDescent="0.2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 x14ac:dyDescent="0.2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 x14ac:dyDescent="0.2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 x14ac:dyDescent="0.2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 x14ac:dyDescent="0.2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 x14ac:dyDescent="0.2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 x14ac:dyDescent="0.2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 x14ac:dyDescent="0.2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 x14ac:dyDescent="0.2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 x14ac:dyDescent="0.2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 x14ac:dyDescent="0.2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 x14ac:dyDescent="0.2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 x14ac:dyDescent="0.2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 x14ac:dyDescent="0.2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 x14ac:dyDescent="0.2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 x14ac:dyDescent="0.2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 x14ac:dyDescent="0.2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 x14ac:dyDescent="0.2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 x14ac:dyDescent="0.2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A207" s="2"/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 x14ac:dyDescent="0.2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 x14ac:dyDescent="0.2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 x14ac:dyDescent="0.2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 x14ac:dyDescent="0.2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 x14ac:dyDescent="0.2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 x14ac:dyDescent="0.2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 x14ac:dyDescent="0.2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 x14ac:dyDescent="0.2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 x14ac:dyDescent="0.2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 x14ac:dyDescent="0.2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 x14ac:dyDescent="0.2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 x14ac:dyDescent="0.2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 x14ac:dyDescent="0.2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 x14ac:dyDescent="0.2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 x14ac:dyDescent="0.2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 x14ac:dyDescent="0.2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 x14ac:dyDescent="0.2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 x14ac:dyDescent="0.2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 x14ac:dyDescent="0.2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 x14ac:dyDescent="0.2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A235" s="2"/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 x14ac:dyDescent="0.2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 x14ac:dyDescent="0.2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 x14ac:dyDescent="0.2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 x14ac:dyDescent="0.2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 x14ac:dyDescent="0.2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 x14ac:dyDescent="0.2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 x14ac:dyDescent="0.2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 x14ac:dyDescent="0.2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 x14ac:dyDescent="0.2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 x14ac:dyDescent="0.2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 x14ac:dyDescent="0.2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 x14ac:dyDescent="0.2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 x14ac:dyDescent="0.2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 x14ac:dyDescent="0.2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 x14ac:dyDescent="0.2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 x14ac:dyDescent="0.2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 x14ac:dyDescent="0.2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 x14ac:dyDescent="0.2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 x14ac:dyDescent="0.2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 x14ac:dyDescent="0.2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A263" s="2"/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 x14ac:dyDescent="0.2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 x14ac:dyDescent="0.2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 x14ac:dyDescent="0.2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 x14ac:dyDescent="0.2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 x14ac:dyDescent="0.2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 x14ac:dyDescent="0.2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 x14ac:dyDescent="0.2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 x14ac:dyDescent="0.2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 x14ac:dyDescent="0.2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 x14ac:dyDescent="0.2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 x14ac:dyDescent="0.2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 x14ac:dyDescent="0.2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 x14ac:dyDescent="0.2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 x14ac:dyDescent="0.2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 x14ac:dyDescent="0.2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 x14ac:dyDescent="0.2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 x14ac:dyDescent="0.2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 x14ac:dyDescent="0.2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 x14ac:dyDescent="0.2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 x14ac:dyDescent="0.2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A291" s="2"/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 x14ac:dyDescent="0.2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 x14ac:dyDescent="0.2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 x14ac:dyDescent="0.2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 x14ac:dyDescent="0.2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 x14ac:dyDescent="0.2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 x14ac:dyDescent="0.2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 x14ac:dyDescent="0.2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 x14ac:dyDescent="0.2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 x14ac:dyDescent="0.2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 x14ac:dyDescent="0.2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 x14ac:dyDescent="0.2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 x14ac:dyDescent="0.2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 x14ac:dyDescent="0.2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 x14ac:dyDescent="0.2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 x14ac:dyDescent="0.2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 x14ac:dyDescent="0.2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 x14ac:dyDescent="0.2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 x14ac:dyDescent="0.2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 x14ac:dyDescent="0.2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 x14ac:dyDescent="0.2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A319" s="2"/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 x14ac:dyDescent="0.2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 x14ac:dyDescent="0.2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 x14ac:dyDescent="0.2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 x14ac:dyDescent="0.2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 x14ac:dyDescent="0.2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 x14ac:dyDescent="0.2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 x14ac:dyDescent="0.2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 x14ac:dyDescent="0.2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 x14ac:dyDescent="0.2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 x14ac:dyDescent="0.2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 x14ac:dyDescent="0.2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 x14ac:dyDescent="0.2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 x14ac:dyDescent="0.2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 x14ac:dyDescent="0.2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 x14ac:dyDescent="0.2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 x14ac:dyDescent="0.2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 x14ac:dyDescent="0.2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 x14ac:dyDescent="0.2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 x14ac:dyDescent="0.2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 x14ac:dyDescent="0.2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 x14ac:dyDescent="0.2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 x14ac:dyDescent="0.3">
      <c r="B2" s="53" t="s">
        <v>1</v>
      </c>
      <c r="D2" s="55" t="str">
        <f>'Census per Disease E-4A1F1 JAN'!C4</f>
        <v>Ward Census</v>
      </c>
      <c r="F2" s="56"/>
      <c r="H2" s="5"/>
      <c r="I2" s="36"/>
      <c r="J2" s="36"/>
    </row>
    <row r="3" spans="2:10" ht="18" x14ac:dyDescent="0.25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 x14ac:dyDescent="0.3">
      <c r="B4" s="59" t="s">
        <v>0</v>
      </c>
      <c r="C4" s="113" t="str">
        <f>'Census per Disease E-4A1F1 JAN'!C2:G2</f>
        <v>EAST AVENUE MEDICAL CENTER</v>
      </c>
      <c r="D4" s="113"/>
      <c r="E4" s="113"/>
      <c r="F4" s="113"/>
      <c r="G4" s="36"/>
      <c r="H4" s="36"/>
      <c r="I4" s="36"/>
      <c r="J4" s="36"/>
    </row>
    <row r="5" spans="2:10" ht="18.75" thickBot="1" x14ac:dyDescent="0.3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 x14ac:dyDescent="0.3">
      <c r="B6" s="60" t="s">
        <v>28</v>
      </c>
      <c r="C6" s="61"/>
      <c r="D6" s="61"/>
      <c r="E6" s="61"/>
      <c r="F6" s="62"/>
    </row>
    <row r="7" spans="2:10" s="33" customFormat="1" ht="45.75" customHeight="1" thickBot="1" x14ac:dyDescent="0.25">
      <c r="B7" s="51" t="str">
        <f>'Census per Disease E-4A1F1 JAN'!C7</f>
        <v>January 2017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 x14ac:dyDescent="0.2">
      <c r="B8" s="66"/>
      <c r="C8" s="67"/>
      <c r="D8" s="67"/>
      <c r="E8" s="67"/>
      <c r="F8" s="68"/>
    </row>
    <row r="9" spans="2:10" x14ac:dyDescent="0.2">
      <c r="B9" s="69" t="s">
        <v>8</v>
      </c>
      <c r="C9" s="70">
        <f>SUM('Census per Disease E-4A1F1 JAN'!$D$12:$D$37)</f>
        <v>0</v>
      </c>
      <c r="D9" s="71" t="e">
        <f t="shared" ref="D9:D20" si="0">+C9/$C$23</f>
        <v>#DIV/0!</v>
      </c>
      <c r="E9" s="70">
        <f>SUM('Census per Disease E-4A1F1 JAN'!$F$12:$F$37)</f>
        <v>0</v>
      </c>
      <c r="F9" s="72" t="e">
        <f>+E9/$C9</f>
        <v>#DIV/0!</v>
      </c>
    </row>
    <row r="10" spans="2:10" x14ac:dyDescent="0.2">
      <c r="B10" s="69" t="s">
        <v>7</v>
      </c>
      <c r="C10" s="70">
        <f>SUM('Census per Disease E-4A1F1 JAN'!$D$41:$D$65)</f>
        <v>0</v>
      </c>
      <c r="D10" s="71" t="e">
        <f t="shared" si="0"/>
        <v>#DIV/0!</v>
      </c>
      <c r="E10" s="70">
        <f>SUM('Census per Disease E-4A1F1 JAN'!$F$41:$F$65)</f>
        <v>0</v>
      </c>
      <c r="F10" s="72" t="e">
        <f t="shared" ref="F10:F20" si="1">+E10/$C10</f>
        <v>#DIV/0!</v>
      </c>
    </row>
    <row r="11" spans="2:10" x14ac:dyDescent="0.2">
      <c r="B11" s="69" t="s">
        <v>38</v>
      </c>
      <c r="C11" s="70">
        <f>SUM('Census per Disease E-4A1F1 JAN'!$D$69:$D$93)</f>
        <v>0</v>
      </c>
      <c r="D11" s="71" t="e">
        <f t="shared" si="0"/>
        <v>#DIV/0!</v>
      </c>
      <c r="E11" s="70">
        <f>SUM('Census per Disease E-4A1F1 JAN'!$F$69:$F$93)</f>
        <v>0</v>
      </c>
      <c r="F11" s="72" t="e">
        <f t="shared" si="1"/>
        <v>#DIV/0!</v>
      </c>
    </row>
    <row r="12" spans="2:10" x14ac:dyDescent="0.2">
      <c r="B12" s="69" t="s">
        <v>3</v>
      </c>
      <c r="C12" s="70">
        <f>SUM('Census per Disease E-4A1F1 JAN'!$D$97:$D$121)</f>
        <v>0</v>
      </c>
      <c r="D12" s="71" t="e">
        <f t="shared" si="0"/>
        <v>#DIV/0!</v>
      </c>
      <c r="E12" s="70">
        <f>SUM('Census per Disease E-4A1F1 JAN'!$F$97:$F$121)</f>
        <v>0</v>
      </c>
      <c r="F12" s="72" t="e">
        <f t="shared" si="1"/>
        <v>#DIV/0!</v>
      </c>
    </row>
    <row r="13" spans="2:10" x14ac:dyDescent="0.2">
      <c r="B13" s="69" t="s">
        <v>10</v>
      </c>
      <c r="C13" s="70">
        <f>SUM('Census per Disease E-4A1F1 JAN'!$D$125:$D$149)</f>
        <v>0</v>
      </c>
      <c r="D13" s="71" t="e">
        <f t="shared" si="0"/>
        <v>#DIV/0!</v>
      </c>
      <c r="E13" s="70">
        <f>SUM('Census per Disease E-4A1F1 JAN'!$F$125:$F$149)</f>
        <v>0</v>
      </c>
      <c r="F13" s="72" t="e">
        <f t="shared" si="1"/>
        <v>#DIV/0!</v>
      </c>
    </row>
    <row r="14" spans="2:10" x14ac:dyDescent="0.2">
      <c r="B14" s="69" t="s">
        <v>37</v>
      </c>
      <c r="C14" s="70">
        <f>SUM('Census per Disease E-4A1F1 JAN'!$D$153:$D$177)</f>
        <v>0</v>
      </c>
      <c r="D14" s="71" t="e">
        <f t="shared" si="0"/>
        <v>#DIV/0!</v>
      </c>
      <c r="E14" s="70">
        <f>SUM('Census per Disease E-4A1F1 JAN'!$F$153:$F$177)</f>
        <v>0</v>
      </c>
      <c r="F14" s="72" t="e">
        <f t="shared" si="1"/>
        <v>#DIV/0!</v>
      </c>
    </row>
    <row r="15" spans="2:10" x14ac:dyDescent="0.2">
      <c r="B15" s="69" t="s">
        <v>6</v>
      </c>
      <c r="C15" s="70">
        <f>SUM('Census per Disease E-4A1F1 JAN'!$D$181:$D$205)</f>
        <v>0</v>
      </c>
      <c r="D15" s="71" t="e">
        <f t="shared" si="0"/>
        <v>#DIV/0!</v>
      </c>
      <c r="E15" s="70">
        <f>SUM('Census per Disease E-4A1F1 JAN'!$F$181:$F$205)</f>
        <v>0</v>
      </c>
      <c r="F15" s="72" t="e">
        <f t="shared" si="1"/>
        <v>#DIV/0!</v>
      </c>
    </row>
    <row r="16" spans="2:10" x14ac:dyDescent="0.2">
      <c r="B16" s="69" t="s">
        <v>9</v>
      </c>
      <c r="C16" s="70">
        <f>SUM('Census per Disease E-4A1F1 JAN'!$D$209:$D$233)</f>
        <v>0</v>
      </c>
      <c r="D16" s="71" t="e">
        <f t="shared" si="0"/>
        <v>#DIV/0!</v>
      </c>
      <c r="E16" s="70">
        <f>SUM('Census per Disease E-4A1F1 JAN'!$F$209:$F$233)</f>
        <v>0</v>
      </c>
      <c r="F16" s="72" t="e">
        <f t="shared" si="1"/>
        <v>#DIV/0!</v>
      </c>
    </row>
    <row r="17" spans="2:9" x14ac:dyDescent="0.2">
      <c r="B17" s="69" t="s">
        <v>5</v>
      </c>
      <c r="C17" s="70">
        <f>SUM('Census per Disease E-4A1F1 JAN'!$D$237:$D$261)</f>
        <v>0</v>
      </c>
      <c r="D17" s="71" t="e">
        <f t="shared" si="0"/>
        <v>#DIV/0!</v>
      </c>
      <c r="E17" s="70">
        <f>SUM('Census per Disease E-4A1F1 JAN'!$F$237:$F$261)</f>
        <v>0</v>
      </c>
      <c r="F17" s="72" t="e">
        <f t="shared" si="1"/>
        <v>#DIV/0!</v>
      </c>
    </row>
    <row r="18" spans="2:9" x14ac:dyDescent="0.2">
      <c r="B18" s="69" t="s">
        <v>4</v>
      </c>
      <c r="C18" s="70">
        <f>SUM('Census per Disease E-4A1F1 JAN'!$D$265:$D$289)</f>
        <v>0</v>
      </c>
      <c r="D18" s="71" t="e">
        <f t="shared" si="0"/>
        <v>#DIV/0!</v>
      </c>
      <c r="E18" s="70">
        <f>SUM('Census per Disease E-4A1F1 JAN'!$F$265:$F$289)</f>
        <v>0</v>
      </c>
      <c r="F18" s="72" t="e">
        <f t="shared" si="1"/>
        <v>#DIV/0!</v>
      </c>
    </row>
    <row r="19" spans="2:9" x14ac:dyDescent="0.2">
      <c r="B19" s="69" t="s">
        <v>2</v>
      </c>
      <c r="C19" s="70">
        <f>SUM('Census per Disease E-4A1F1 JAN'!$D$293:$D$317)</f>
        <v>0</v>
      </c>
      <c r="D19" s="71" t="e">
        <f t="shared" si="0"/>
        <v>#DIV/0!</v>
      </c>
      <c r="E19" s="70">
        <f>SUM('Census per Disease E-4A1F1 JAN'!$F$293:$F$317)</f>
        <v>0</v>
      </c>
      <c r="F19" s="72" t="e">
        <f t="shared" si="1"/>
        <v>#DIV/0!</v>
      </c>
    </row>
    <row r="20" spans="2:9" x14ac:dyDescent="0.2">
      <c r="B20" s="69" t="s">
        <v>43</v>
      </c>
      <c r="C20" s="70">
        <f>SUM('Census per Disease E-4A1F1 JAN'!$D$321:$D$345)</f>
        <v>0</v>
      </c>
      <c r="D20" s="71" t="e">
        <f t="shared" si="0"/>
        <v>#DIV/0!</v>
      </c>
      <c r="E20" s="70">
        <f>SUM('Census per Disease E-4A1F1 JAN'!$F$321:$F$345)</f>
        <v>0</v>
      </c>
      <c r="F20" s="72" t="e">
        <f t="shared" si="1"/>
        <v>#DIV/0!</v>
      </c>
    </row>
    <row r="21" spans="2:9" ht="13.5" thickBot="1" x14ac:dyDescent="0.25">
      <c r="B21" s="73"/>
      <c r="C21" s="74"/>
      <c r="D21" s="74"/>
      <c r="E21" s="74"/>
      <c r="F21" s="75"/>
    </row>
    <row r="22" spans="2:9" ht="13.5" thickBot="1" x14ac:dyDescent="0.25"/>
    <row r="23" spans="2:9" x14ac:dyDescent="0.2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 x14ac:dyDescent="0.25">
      <c r="B24" s="80" t="s">
        <v>25</v>
      </c>
      <c r="C24" s="81">
        <f>'Census per Disease E-4A1F1 JAN'!C9:D9</f>
        <v>0</v>
      </c>
      <c r="D24" s="114" t="s">
        <v>27</v>
      </c>
      <c r="E24" s="115"/>
      <c r="F24" s="82" t="e">
        <f>+F23/C24</f>
        <v>#DIV/0!</v>
      </c>
    </row>
    <row r="26" spans="2:9" x14ac:dyDescent="0.2">
      <c r="B26" s="83"/>
      <c r="C26" s="84"/>
      <c r="D26" s="85"/>
      <c r="E26" s="84"/>
      <c r="F26" s="84"/>
      <c r="G26" s="36"/>
    </row>
    <row r="27" spans="2:9" ht="18.75" thickBot="1" x14ac:dyDescent="0.3">
      <c r="B27" s="53" t="s">
        <v>1</v>
      </c>
      <c r="D27" s="55" t="str">
        <f>'Census per Disease E-4A1F1 FEB'!C4</f>
        <v>Ward Census</v>
      </c>
      <c r="F27" s="56"/>
      <c r="G27" s="36"/>
    </row>
    <row r="28" spans="2:9" ht="18" x14ac:dyDescent="0.25">
      <c r="B28" s="53"/>
      <c r="D28" s="53"/>
      <c r="E28" s="57"/>
      <c r="F28" s="58"/>
      <c r="G28" s="36"/>
    </row>
    <row r="29" spans="2:9" ht="16.5" thickBot="1" x14ac:dyDescent="0.3">
      <c r="B29" s="59" t="s">
        <v>0</v>
      </c>
      <c r="C29" s="113" t="str">
        <f>'Census per Disease E-4A1F1 FEB'!C2:H2</f>
        <v>EAST AVENUE MEDICAL CENTER</v>
      </c>
      <c r="D29" s="113"/>
      <c r="E29" s="113"/>
      <c r="F29" s="113"/>
      <c r="G29" s="36"/>
    </row>
    <row r="30" spans="2:9" ht="18.75" thickBot="1" x14ac:dyDescent="0.3">
      <c r="B30" s="53"/>
      <c r="D30" s="53"/>
      <c r="E30" s="57"/>
      <c r="F30" s="58"/>
      <c r="G30" s="36"/>
    </row>
    <row r="31" spans="2:9" ht="16.5" thickBot="1" x14ac:dyDescent="0.3">
      <c r="B31" s="60" t="s">
        <v>28</v>
      </c>
      <c r="C31" s="61"/>
      <c r="D31" s="61"/>
      <c r="E31" s="61"/>
      <c r="F31" s="62"/>
      <c r="G31" s="36"/>
    </row>
    <row r="32" spans="2:9" ht="39" thickBot="1" x14ac:dyDescent="0.25">
      <c r="B32" s="50">
        <f>'Census per Disease E-4A1F1 FEB'!C7</f>
        <v>42767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 x14ac:dyDescent="0.2">
      <c r="B33" s="66"/>
      <c r="C33" s="67"/>
      <c r="D33" s="67"/>
      <c r="E33" s="67"/>
      <c r="F33" s="68"/>
      <c r="G33" s="36"/>
    </row>
    <row r="34" spans="2:7" x14ac:dyDescent="0.2">
      <c r="B34" s="69" t="s">
        <v>8</v>
      </c>
      <c r="C34" s="70">
        <f>SUM('Census per Disease E-4A1F1 FEB'!$D$12:$D$36)</f>
        <v>0</v>
      </c>
      <c r="D34" s="71" t="e">
        <f t="shared" ref="D34:D45" si="2">+C34/$C$23</f>
        <v>#DIV/0!</v>
      </c>
      <c r="E34" s="70">
        <f>SUM('Census per Disease E-4A1F1 FEB'!$F$12:$F$36)</f>
        <v>0</v>
      </c>
      <c r="F34" s="72" t="e">
        <f>+E34/$C34</f>
        <v>#DIV/0!</v>
      </c>
      <c r="G34" s="36"/>
    </row>
    <row r="35" spans="2:7" x14ac:dyDescent="0.2">
      <c r="B35" s="69" t="s">
        <v>7</v>
      </c>
      <c r="C35" s="70">
        <f>SUM('Census per Disease E-4A1F1 FEB'!$D$40:$D$64)</f>
        <v>0</v>
      </c>
      <c r="D35" s="71" t="e">
        <f t="shared" si="2"/>
        <v>#DIV/0!</v>
      </c>
      <c r="E35" s="70">
        <f>SUM('Census per Disease E-4A1F1 FEB'!$F$40:$F$64)</f>
        <v>0</v>
      </c>
      <c r="F35" s="72" t="e">
        <f t="shared" ref="F35:F45" si="3">+E35/$C35</f>
        <v>#DIV/0!</v>
      </c>
      <c r="G35" s="36"/>
    </row>
    <row r="36" spans="2:7" x14ac:dyDescent="0.2">
      <c r="B36" s="69" t="s">
        <v>38</v>
      </c>
      <c r="C36" s="70">
        <f>SUM('Census per Disease E-4A1F1 FEB'!$D$68:$D$92)</f>
        <v>0</v>
      </c>
      <c r="D36" s="71" t="e">
        <f t="shared" si="2"/>
        <v>#DIV/0!</v>
      </c>
      <c r="E36" s="70">
        <f>SUM('Census per Disease E-4A1F1 FEB'!$F$68:$F$92)</f>
        <v>0</v>
      </c>
      <c r="F36" s="72" t="e">
        <f t="shared" si="3"/>
        <v>#DIV/0!</v>
      </c>
      <c r="G36" s="36"/>
    </row>
    <row r="37" spans="2:7" x14ac:dyDescent="0.2">
      <c r="B37" s="69" t="s">
        <v>3</v>
      </c>
      <c r="C37" s="70">
        <f>SUM('Census per Disease E-4A1F1 FEB'!$D$96:$D$120)</f>
        <v>0</v>
      </c>
      <c r="D37" s="71" t="e">
        <f t="shared" si="2"/>
        <v>#DIV/0!</v>
      </c>
      <c r="E37" s="70">
        <f>SUM('Census per Disease E-4A1F1 FEB'!$F$96:$F$120)</f>
        <v>0</v>
      </c>
      <c r="F37" s="72" t="e">
        <f t="shared" si="3"/>
        <v>#DIV/0!</v>
      </c>
    </row>
    <row r="38" spans="2:7" x14ac:dyDescent="0.2">
      <c r="B38" s="69" t="s">
        <v>10</v>
      </c>
      <c r="C38" s="70">
        <f>SUM('Census per Disease E-4A1F1 FEB'!$D$124:$D$148)</f>
        <v>0</v>
      </c>
      <c r="D38" s="71" t="e">
        <f t="shared" si="2"/>
        <v>#DIV/0!</v>
      </c>
      <c r="E38" s="70">
        <f>SUM('Census per Disease E-4A1F1 FEB'!$F$124:$F$148)</f>
        <v>0</v>
      </c>
      <c r="F38" s="72" t="e">
        <f t="shared" si="3"/>
        <v>#DIV/0!</v>
      </c>
    </row>
    <row r="39" spans="2:7" x14ac:dyDescent="0.2">
      <c r="B39" s="69" t="s">
        <v>37</v>
      </c>
      <c r="C39" s="70">
        <f>SUM('Census per Disease E-4A1F1 FEB'!$D$152:$D$176)</f>
        <v>0</v>
      </c>
      <c r="D39" s="71" t="e">
        <f t="shared" si="2"/>
        <v>#DIV/0!</v>
      </c>
      <c r="E39" s="70">
        <f>SUM('Census per Disease E-4A1F1 FEB'!$F$152:$F$176)</f>
        <v>0</v>
      </c>
      <c r="F39" s="72" t="e">
        <f t="shared" si="3"/>
        <v>#DIV/0!</v>
      </c>
    </row>
    <row r="40" spans="2:7" x14ac:dyDescent="0.2">
      <c r="B40" s="69" t="s">
        <v>6</v>
      </c>
      <c r="C40" s="70">
        <f>SUM('Census per Disease E-4A1F1 FEB'!$D$180:$D$204)</f>
        <v>0</v>
      </c>
      <c r="D40" s="71" t="e">
        <f t="shared" si="2"/>
        <v>#DIV/0!</v>
      </c>
      <c r="E40" s="70">
        <f>SUM('Census per Disease E-4A1F1 FEB'!$F$180:$F$204)</f>
        <v>0</v>
      </c>
      <c r="F40" s="72" t="e">
        <f t="shared" si="3"/>
        <v>#DIV/0!</v>
      </c>
    </row>
    <row r="41" spans="2:7" x14ac:dyDescent="0.2">
      <c r="B41" s="69" t="s">
        <v>9</v>
      </c>
      <c r="C41" s="70">
        <f>SUM('Census per Disease E-4A1F1 FEB'!$D$208:$D$232)</f>
        <v>0</v>
      </c>
      <c r="D41" s="71" t="e">
        <f t="shared" si="2"/>
        <v>#DIV/0!</v>
      </c>
      <c r="E41" s="70">
        <f>SUM('Census per Disease E-4A1F1 FEB'!$F$208:$F$232)</f>
        <v>0</v>
      </c>
      <c r="F41" s="72" t="e">
        <f t="shared" si="3"/>
        <v>#DIV/0!</v>
      </c>
    </row>
    <row r="42" spans="2:7" x14ac:dyDescent="0.2">
      <c r="B42" s="69" t="s">
        <v>5</v>
      </c>
      <c r="C42" s="70">
        <f>SUM('Census per Disease E-4A1F1 FEB'!$D$236:$D$260)</f>
        <v>0</v>
      </c>
      <c r="D42" s="71" t="e">
        <f t="shared" si="2"/>
        <v>#DIV/0!</v>
      </c>
      <c r="E42" s="70">
        <f>SUM('Census per Disease E-4A1F1 FEB'!$F$236:$F$260)</f>
        <v>0</v>
      </c>
      <c r="F42" s="72" t="e">
        <f t="shared" si="3"/>
        <v>#DIV/0!</v>
      </c>
    </row>
    <row r="43" spans="2:7" x14ac:dyDescent="0.2">
      <c r="B43" s="69" t="s">
        <v>4</v>
      </c>
      <c r="C43" s="70">
        <f>SUM('Census per Disease E-4A1F1 FEB'!$D$264:$D$288)</f>
        <v>0</v>
      </c>
      <c r="D43" s="71" t="e">
        <f t="shared" si="2"/>
        <v>#DIV/0!</v>
      </c>
      <c r="E43" s="70">
        <f>SUM('Census per Disease E-4A1F1 FEB'!$F$264:$F$288)</f>
        <v>0</v>
      </c>
      <c r="F43" s="72" t="e">
        <f t="shared" si="3"/>
        <v>#DIV/0!</v>
      </c>
    </row>
    <row r="44" spans="2:7" x14ac:dyDescent="0.2">
      <c r="B44" s="69" t="s">
        <v>2</v>
      </c>
      <c r="C44" s="70">
        <f>SUM('Census per Disease E-4A1F1 FEB'!$D$292:$D$316)</f>
        <v>0</v>
      </c>
      <c r="D44" s="71" t="e">
        <f t="shared" si="2"/>
        <v>#DIV/0!</v>
      </c>
      <c r="E44" s="70">
        <f>SUM('Census per Disease E-4A1F1 FEB'!$F$292:$F$316)</f>
        <v>0</v>
      </c>
      <c r="F44" s="72" t="e">
        <f t="shared" si="3"/>
        <v>#DIV/0!</v>
      </c>
    </row>
    <row r="45" spans="2:7" x14ac:dyDescent="0.2">
      <c r="B45" s="69" t="s">
        <v>43</v>
      </c>
      <c r="C45" s="70">
        <f>SUM('Census per Disease E-4A1F1 FEB'!$D$320:$D$344)</f>
        <v>0</v>
      </c>
      <c r="D45" s="71" t="e">
        <f t="shared" si="2"/>
        <v>#DIV/0!</v>
      </c>
      <c r="E45" s="70">
        <f>SUM('Census per Disease E-4A1F1 FEB'!$F$320:$F$344)</f>
        <v>0</v>
      </c>
      <c r="F45" s="72" t="e">
        <f t="shared" si="3"/>
        <v>#DIV/0!</v>
      </c>
    </row>
    <row r="46" spans="2:7" ht="13.5" thickBot="1" x14ac:dyDescent="0.25">
      <c r="B46" s="73"/>
      <c r="C46" s="74"/>
      <c r="D46" s="74"/>
      <c r="E46" s="74"/>
      <c r="F46" s="75"/>
    </row>
    <row r="47" spans="2:7" ht="13.5" thickBot="1" x14ac:dyDescent="0.25"/>
    <row r="48" spans="2:7" x14ac:dyDescent="0.2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 x14ac:dyDescent="0.25">
      <c r="B49" s="80" t="s">
        <v>25</v>
      </c>
      <c r="C49" s="81">
        <f>'Census per Disease E-4A1F1 FEB'!C9:D9</f>
        <v>0</v>
      </c>
      <c r="D49" s="114" t="s">
        <v>27</v>
      </c>
      <c r="E49" s="115"/>
      <c r="F49" s="82" t="e">
        <f>+F48/C49</f>
        <v>#DIV/0!</v>
      </c>
    </row>
    <row r="52" spans="2:6" ht="18.75" thickBot="1" x14ac:dyDescent="0.3">
      <c r="B52" s="53" t="s">
        <v>1</v>
      </c>
      <c r="D52" s="55" t="str">
        <f>'Census per Disease E-4A1F1 MAR'!C4</f>
        <v>Ward Census</v>
      </c>
      <c r="F52" s="56"/>
    </row>
    <row r="53" spans="2:6" ht="18" x14ac:dyDescent="0.25">
      <c r="B53" s="53"/>
      <c r="D53" s="53"/>
      <c r="E53" s="57"/>
      <c r="F53" s="58"/>
    </row>
    <row r="54" spans="2:6" ht="16.5" thickBot="1" x14ac:dyDescent="0.3">
      <c r="B54" s="59" t="s">
        <v>0</v>
      </c>
      <c r="C54" s="113" t="str">
        <f>'Census per Disease E-4A1F1 MAR'!C2:H2</f>
        <v>EAST AVENUE MEDICAL CENTER</v>
      </c>
      <c r="D54" s="113"/>
      <c r="E54" s="113"/>
      <c r="F54" s="113"/>
    </row>
    <row r="55" spans="2:6" ht="18.75" thickBot="1" x14ac:dyDescent="0.3">
      <c r="B55" s="53"/>
      <c r="D55" s="53"/>
      <c r="E55" s="57"/>
      <c r="F55" s="58"/>
    </row>
    <row r="56" spans="2:6" ht="16.5" thickBot="1" x14ac:dyDescent="0.3">
      <c r="B56" s="60" t="s">
        <v>28</v>
      </c>
      <c r="C56" s="61"/>
      <c r="D56" s="61"/>
      <c r="E56" s="61"/>
      <c r="F56" s="62"/>
    </row>
    <row r="57" spans="2:6" ht="39" thickBot="1" x14ac:dyDescent="0.25">
      <c r="B57" s="50">
        <f>'Census per Disease E-4A1F1 MAR'!C7</f>
        <v>42795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 x14ac:dyDescent="0.2">
      <c r="B58" s="66"/>
      <c r="C58" s="67"/>
      <c r="D58" s="67"/>
      <c r="E58" s="67"/>
      <c r="F58" s="68"/>
    </row>
    <row r="59" spans="2:6" x14ac:dyDescent="0.2">
      <c r="B59" s="69" t="s">
        <v>8</v>
      </c>
      <c r="C59" s="70">
        <f>SUM('Census per Disease E-4A1F1 MAR'!$D$12:$D$36)</f>
        <v>0</v>
      </c>
      <c r="D59" s="71" t="e">
        <f t="shared" ref="D59:D70" si="4">+C59/$C$23</f>
        <v>#DIV/0!</v>
      </c>
      <c r="E59" s="70">
        <f>SUM('Census per Disease E-4A1F1 MAR'!$F$12:$F$36)</f>
        <v>0</v>
      </c>
      <c r="F59" s="72" t="e">
        <f>+E59/$C59</f>
        <v>#DIV/0!</v>
      </c>
    </row>
    <row r="60" spans="2:6" x14ac:dyDescent="0.2">
      <c r="B60" s="69" t="s">
        <v>7</v>
      </c>
      <c r="C60" s="70">
        <f>SUM('Census per Disease E-4A1F1 MAR'!$D$40:$D$64)</f>
        <v>0</v>
      </c>
      <c r="D60" s="71" t="e">
        <f t="shared" si="4"/>
        <v>#DIV/0!</v>
      </c>
      <c r="E60" s="70">
        <f>SUM('Census per Disease E-4A1F1 MAR'!$F$40:$F$64)</f>
        <v>0</v>
      </c>
      <c r="F60" s="72" t="e">
        <f t="shared" ref="F60:F70" si="5">+E60/$C60</f>
        <v>#DIV/0!</v>
      </c>
    </row>
    <row r="61" spans="2:6" x14ac:dyDescent="0.2">
      <c r="B61" s="69" t="s">
        <v>38</v>
      </c>
      <c r="C61" s="70">
        <f>SUM('Census per Disease E-4A1F1 MAR'!$D$68:$D$92)</f>
        <v>0</v>
      </c>
      <c r="D61" s="71" t="e">
        <f t="shared" si="4"/>
        <v>#DIV/0!</v>
      </c>
      <c r="E61" s="70">
        <f>SUM('Census per Disease E-4A1F1 MAR'!$F$68:$F$92)</f>
        <v>0</v>
      </c>
      <c r="F61" s="72" t="e">
        <f t="shared" si="5"/>
        <v>#DIV/0!</v>
      </c>
    </row>
    <row r="62" spans="2:6" x14ac:dyDescent="0.2">
      <c r="B62" s="69" t="s">
        <v>3</v>
      </c>
      <c r="C62" s="70">
        <f>SUM('Census per Disease E-4A1F1 MAR'!$D$96:$D$120)</f>
        <v>0</v>
      </c>
      <c r="D62" s="71" t="e">
        <f t="shared" si="4"/>
        <v>#DIV/0!</v>
      </c>
      <c r="E62" s="70">
        <f>SUM('Census per Disease E-4A1F1 MAR'!$F$96:$F$120)</f>
        <v>0</v>
      </c>
      <c r="F62" s="72" t="e">
        <f t="shared" si="5"/>
        <v>#DIV/0!</v>
      </c>
    </row>
    <row r="63" spans="2:6" x14ac:dyDescent="0.2">
      <c r="B63" s="69" t="s">
        <v>10</v>
      </c>
      <c r="C63" s="70">
        <f>SUM('Census per Disease E-4A1F1 MAR'!$D$124:$D$148)</f>
        <v>0</v>
      </c>
      <c r="D63" s="71" t="e">
        <f t="shared" si="4"/>
        <v>#DIV/0!</v>
      </c>
      <c r="E63" s="70">
        <f>SUM('Census per Disease E-4A1F1 MAR'!$F$124:$F$148)</f>
        <v>0</v>
      </c>
      <c r="F63" s="72" t="e">
        <f t="shared" si="5"/>
        <v>#DIV/0!</v>
      </c>
    </row>
    <row r="64" spans="2:6" x14ac:dyDescent="0.2">
      <c r="B64" s="69" t="s">
        <v>37</v>
      </c>
      <c r="C64" s="70">
        <f>SUM('Census per Disease E-4A1F1 MAR'!$D$152:$D$176)</f>
        <v>0</v>
      </c>
      <c r="D64" s="71" t="e">
        <f t="shared" si="4"/>
        <v>#DIV/0!</v>
      </c>
      <c r="E64" s="70">
        <f>SUM('Census per Disease E-4A1F1 MAR'!$F$152:$F$176)</f>
        <v>0</v>
      </c>
      <c r="F64" s="72" t="e">
        <f t="shared" si="5"/>
        <v>#DIV/0!</v>
      </c>
    </row>
    <row r="65" spans="2:6" x14ac:dyDescent="0.2">
      <c r="B65" s="69" t="s">
        <v>6</v>
      </c>
      <c r="C65" s="70">
        <f>SUM('Census per Disease E-4A1F1 MAR'!$D$180:$D$204)</f>
        <v>0</v>
      </c>
      <c r="D65" s="71" t="e">
        <f t="shared" si="4"/>
        <v>#DIV/0!</v>
      </c>
      <c r="E65" s="70">
        <f>SUM('Census per Disease E-4A1F1 MAR'!$F$180:$F$204)</f>
        <v>0</v>
      </c>
      <c r="F65" s="72" t="e">
        <f t="shared" si="5"/>
        <v>#DIV/0!</v>
      </c>
    </row>
    <row r="66" spans="2:6" x14ac:dyDescent="0.2">
      <c r="B66" s="69" t="s">
        <v>9</v>
      </c>
      <c r="C66" s="70">
        <f>SUM('Census per Disease E-4A1F1 MAR'!$D$208:$D$232)</f>
        <v>0</v>
      </c>
      <c r="D66" s="71" t="e">
        <f t="shared" si="4"/>
        <v>#DIV/0!</v>
      </c>
      <c r="E66" s="70">
        <f>SUM('Census per Disease E-4A1F1 MAR'!$F$208:$F$232)</f>
        <v>0</v>
      </c>
      <c r="F66" s="72" t="e">
        <f t="shared" si="5"/>
        <v>#DIV/0!</v>
      </c>
    </row>
    <row r="67" spans="2:6" x14ac:dyDescent="0.2">
      <c r="B67" s="69" t="s">
        <v>5</v>
      </c>
      <c r="C67" s="70">
        <f>SUM('Census per Disease E-4A1F1 MAR'!$D$236:$D$260)</f>
        <v>0</v>
      </c>
      <c r="D67" s="71" t="e">
        <f t="shared" si="4"/>
        <v>#DIV/0!</v>
      </c>
      <c r="E67" s="70">
        <f>SUM('Census per Disease E-4A1F1 MAR'!$F$236:$F$260)</f>
        <v>0</v>
      </c>
      <c r="F67" s="72" t="e">
        <f t="shared" si="5"/>
        <v>#DIV/0!</v>
      </c>
    </row>
    <row r="68" spans="2:6" x14ac:dyDescent="0.2">
      <c r="B68" s="69" t="s">
        <v>4</v>
      </c>
      <c r="C68" s="70">
        <f>SUM('Census per Disease E-4A1F1 MAR'!$D$264:$D$288)</f>
        <v>0</v>
      </c>
      <c r="D68" s="71" t="e">
        <f t="shared" si="4"/>
        <v>#DIV/0!</v>
      </c>
      <c r="E68" s="70">
        <f>SUM('Census per Disease E-4A1F1 MAR'!$F$264:$F$288)</f>
        <v>0</v>
      </c>
      <c r="F68" s="72" t="e">
        <f t="shared" si="5"/>
        <v>#DIV/0!</v>
      </c>
    </row>
    <row r="69" spans="2:6" x14ac:dyDescent="0.2">
      <c r="B69" s="69" t="s">
        <v>2</v>
      </c>
      <c r="C69" s="70">
        <f>SUM('Census per Disease E-4A1F1 MAR'!$D$292:$D$316)</f>
        <v>0</v>
      </c>
      <c r="D69" s="71" t="e">
        <f t="shared" si="4"/>
        <v>#DIV/0!</v>
      </c>
      <c r="E69" s="70">
        <f>SUM('Census per Disease E-4A1F1 MAR'!$F$292:$F$316)</f>
        <v>0</v>
      </c>
      <c r="F69" s="72" t="e">
        <f t="shared" si="5"/>
        <v>#DIV/0!</v>
      </c>
    </row>
    <row r="70" spans="2:6" x14ac:dyDescent="0.2">
      <c r="B70" s="69" t="s">
        <v>43</v>
      </c>
      <c r="C70" s="70">
        <f>SUM('Census per Disease E-4A1F1 MAR'!$D$320:$D$344)</f>
        <v>0</v>
      </c>
      <c r="D70" s="71" t="e">
        <f t="shared" si="4"/>
        <v>#DIV/0!</v>
      </c>
      <c r="E70" s="70">
        <f>SUM('Census per Disease E-4A1F1 MAR'!$F$320:$F$344)</f>
        <v>0</v>
      </c>
      <c r="F70" s="72" t="e">
        <f t="shared" si="5"/>
        <v>#DIV/0!</v>
      </c>
    </row>
    <row r="71" spans="2:6" ht="13.5" thickBot="1" x14ac:dyDescent="0.25">
      <c r="B71" s="73"/>
      <c r="C71" s="74"/>
      <c r="D71" s="74"/>
      <c r="E71" s="74"/>
      <c r="F71" s="75"/>
    </row>
    <row r="72" spans="2:6" ht="13.5" thickBot="1" x14ac:dyDescent="0.25"/>
    <row r="73" spans="2:6" x14ac:dyDescent="0.2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 x14ac:dyDescent="0.25">
      <c r="B74" s="80" t="s">
        <v>25</v>
      </c>
      <c r="C74" s="81">
        <f>'Census per Disease E-4A1F1 MAR'!C9:D9</f>
        <v>0</v>
      </c>
      <c r="D74" s="114" t="s">
        <v>27</v>
      </c>
      <c r="E74" s="115"/>
      <c r="F74" s="82" t="e">
        <f>+F73/C74</f>
        <v>#DIV/0!</v>
      </c>
    </row>
    <row r="77" spans="2:6" ht="18.75" thickBot="1" x14ac:dyDescent="0.3">
      <c r="B77" s="53" t="s">
        <v>1</v>
      </c>
      <c r="D77" s="55" t="str">
        <f>D52</f>
        <v>Ward Census</v>
      </c>
      <c r="F77" s="56"/>
    </row>
    <row r="78" spans="2:6" ht="18" x14ac:dyDescent="0.25">
      <c r="B78" s="53"/>
      <c r="D78" s="53"/>
      <c r="E78" s="57"/>
      <c r="F78" s="58"/>
    </row>
    <row r="79" spans="2:6" ht="16.5" thickBot="1" x14ac:dyDescent="0.3">
      <c r="B79" s="59" t="s">
        <v>0</v>
      </c>
      <c r="C79" s="113" t="str">
        <f>C54</f>
        <v>EAST AVENUE MEDICAL CENTER</v>
      </c>
      <c r="D79" s="113"/>
      <c r="E79" s="113"/>
      <c r="F79" s="113"/>
    </row>
    <row r="80" spans="2:6" ht="18.75" thickBot="1" x14ac:dyDescent="0.3">
      <c r="B80" s="53"/>
      <c r="D80" s="53"/>
      <c r="E80" s="57"/>
      <c r="F80" s="58"/>
    </row>
    <row r="81" spans="2:6" ht="16.5" thickBot="1" x14ac:dyDescent="0.3">
      <c r="B81" s="60" t="s">
        <v>45</v>
      </c>
      <c r="C81" s="116" t="s">
        <v>11</v>
      </c>
      <c r="D81" s="119" t="s">
        <v>31</v>
      </c>
      <c r="E81" s="122" t="s">
        <v>23</v>
      </c>
      <c r="F81" s="125" t="s">
        <v>12</v>
      </c>
    </row>
    <row r="82" spans="2:6" ht="15.75" x14ac:dyDescent="0.25">
      <c r="B82" s="86" t="str">
        <f>B7</f>
        <v>January 2017</v>
      </c>
      <c r="C82" s="117"/>
      <c r="D82" s="120"/>
      <c r="E82" s="123"/>
      <c r="F82" s="126"/>
    </row>
    <row r="83" spans="2:6" ht="15.6" customHeight="1" x14ac:dyDescent="0.25">
      <c r="B83" s="87">
        <f>B32</f>
        <v>42767</v>
      </c>
      <c r="C83" s="117"/>
      <c r="D83" s="120"/>
      <c r="E83" s="123"/>
      <c r="F83" s="126"/>
    </row>
    <row r="84" spans="2:6" ht="15.6" customHeight="1" thickBot="1" x14ac:dyDescent="0.25">
      <c r="B84" s="52">
        <f>B57</f>
        <v>42795</v>
      </c>
      <c r="C84" s="118"/>
      <c r="D84" s="121"/>
      <c r="E84" s="124"/>
      <c r="F84" s="127"/>
    </row>
    <row r="85" spans="2:6" x14ac:dyDescent="0.2">
      <c r="B85" s="66"/>
      <c r="C85" s="67"/>
      <c r="D85" s="67"/>
      <c r="E85" s="67"/>
      <c r="F85" s="68"/>
    </row>
    <row r="86" spans="2:6" x14ac:dyDescent="0.2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 x14ac:dyDescent="0.2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 x14ac:dyDescent="0.2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 x14ac:dyDescent="0.2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 x14ac:dyDescent="0.2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 x14ac:dyDescent="0.2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 x14ac:dyDescent="0.2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 x14ac:dyDescent="0.2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 x14ac:dyDescent="0.2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 x14ac:dyDescent="0.2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 x14ac:dyDescent="0.2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 x14ac:dyDescent="0.2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 x14ac:dyDescent="0.25">
      <c r="B98" s="73"/>
      <c r="C98" s="74"/>
      <c r="D98" s="74"/>
      <c r="E98" s="74"/>
      <c r="F98" s="75"/>
    </row>
    <row r="99" spans="2:6" ht="13.5" thickBot="1" x14ac:dyDescent="0.25"/>
    <row r="100" spans="2:6" x14ac:dyDescent="0.2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 x14ac:dyDescent="0.25">
      <c r="B101" s="80" t="s">
        <v>25</v>
      </c>
      <c r="C101" s="81">
        <f>C24+C49+C74</f>
        <v>0</v>
      </c>
      <c r="D101" s="114" t="s">
        <v>27</v>
      </c>
      <c r="E101" s="115"/>
      <c r="F101" s="82" t="e">
        <f>+F100/C101</f>
        <v>#DIV/0!</v>
      </c>
    </row>
  </sheetData>
  <sheetProtection password="CC4D" sheet="1" objects="1" scenarios="1" selectLockedCells="1"/>
  <mergeCells count="12">
    <mergeCell ref="D74:E74"/>
    <mergeCell ref="D24:E24"/>
    <mergeCell ref="C4:F4"/>
    <mergeCell ref="C29:F29"/>
    <mergeCell ref="D49:E49"/>
    <mergeCell ref="C54:F54"/>
    <mergeCell ref="C79:F79"/>
    <mergeCell ref="D101:E101"/>
    <mergeCell ref="C81:C84"/>
    <mergeCell ref="D81:D84"/>
    <mergeCell ref="E81:E84"/>
    <mergeCell ref="F81:F8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E-4A1F2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WARD-JAN</vt:lpstr>
      <vt:lpstr>WARD-FEB</vt:lpstr>
      <vt:lpstr>WARD-MARCH</vt:lpstr>
      <vt:lpstr>PROCEDURES</vt:lpstr>
      <vt:lpstr>Census per Disease E-4A1F1 JAN</vt:lpstr>
      <vt:lpstr>Census per Disease E-4A1F1 FEB</vt:lpstr>
      <vt:lpstr>Census per Disease E-4A1F1 MAR</vt:lpstr>
      <vt:lpstr>Census Summary per Subspec A1F2</vt:lpstr>
      <vt:lpstr>'Census per Disease E-4A1F1 FEB'!Print_Area</vt:lpstr>
      <vt:lpstr>'Census per Disease E-4A1F1 JAN'!Print_Area</vt:lpstr>
      <vt:lpstr>'Census per Disease E-4A1F1 MAR'!Print_Area</vt:lpstr>
      <vt:lpstr>'Census Summary per Subspec A1F2'!Print_Area</vt:lpstr>
    </vt:vector>
  </TitlesOfParts>
  <Company>PCP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Sharleen Go</cp:lastModifiedBy>
  <cp:lastPrinted>2013-09-12T06:04:40Z</cp:lastPrinted>
  <dcterms:created xsi:type="dcterms:W3CDTF">2001-02-07T07:00:06Z</dcterms:created>
  <dcterms:modified xsi:type="dcterms:W3CDTF">2017-05-26T02:49:28Z</dcterms:modified>
</cp:coreProperties>
</file>